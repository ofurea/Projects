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62AC4A5A-39FE-4F9C-B00C-CEC508C11A9A}" xr6:coauthVersionLast="47" xr6:coauthVersionMax="47" xr10:uidLastSave="{00000000-0000-0000-0000-000000000000}"/>
  <bookViews>
    <workbookView xWindow="-98" yWindow="-98" windowWidth="21795" windowHeight="12975" activeTab="3" xr2:uid="{05BF2CAF-367F-41FA-9D71-16DC1193F8E1}"/>
  </bookViews>
  <sheets>
    <sheet name="risk_summary" sheetId="1" r:id="rId1"/>
    <sheet name="Valid_Overall" sheetId="2" r:id="rId2"/>
    <sheet name="Valid_Credit" sheetId="3" r:id="rId3"/>
    <sheet name="ECL_Model" sheetId="4" r:id="rId4"/>
    <sheet name="Stress_Test" sheetId="5" r:id="rId5"/>
  </sheets>
  <calcPr calcId="0"/>
</workbook>
</file>

<file path=xl/calcChain.xml><?xml version="1.0" encoding="utf-8"?>
<calcChain xmlns="http://schemas.openxmlformats.org/spreadsheetml/2006/main">
  <c r="B72" i="4" l="1"/>
  <c r="B71" i="4"/>
  <c r="B6" i="5"/>
  <c r="C4" i="5"/>
  <c r="C3" i="5"/>
  <c r="C2" i="5"/>
  <c r="G68" i="4"/>
  <c r="J6" i="4"/>
  <c r="H68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4" i="4"/>
</calcChain>
</file>

<file path=xl/sharedStrings.xml><?xml version="1.0" encoding="utf-8"?>
<sst xmlns="http://schemas.openxmlformats.org/spreadsheetml/2006/main" count="425" uniqueCount="39">
  <si>
    <t>CreditBand</t>
  </si>
  <si>
    <t>IncomeBand</t>
  </si>
  <si>
    <t>DTIBand</t>
  </si>
  <si>
    <t>n_loans</t>
  </si>
  <si>
    <t>n_default</t>
  </si>
  <si>
    <t>pd</t>
  </si>
  <si>
    <t>ead</t>
  </si>
  <si>
    <t>lgd_assumed</t>
  </si>
  <si>
    <t>expected_loss</t>
  </si>
  <si>
    <t>Fair (580-669)</t>
  </si>
  <si>
    <t>High (60-100k)</t>
  </si>
  <si>
    <t>High (35-50%)</t>
  </si>
  <si>
    <t>Low (&lt;20%)</t>
  </si>
  <si>
    <t>Medium (20-35%)</t>
  </si>
  <si>
    <t>Very High (50%+)</t>
  </si>
  <si>
    <t>Low (&lt;30k)</t>
  </si>
  <si>
    <t>Mid (30-60k)</t>
  </si>
  <si>
    <t>Very High (100k+)</t>
  </si>
  <si>
    <t>Good (670-739)</t>
  </si>
  <si>
    <t>Poor (&lt;580)</t>
  </si>
  <si>
    <t>Very Good (740+)</t>
  </si>
  <si>
    <t>n</t>
  </si>
  <si>
    <t>pd_pct</t>
  </si>
  <si>
    <t>LGD_Assumed</t>
  </si>
  <si>
    <t>Note: 45% unsecured consumer standard, no recovery data</t>
  </si>
  <si>
    <t xml:space="preserve">CreditBand </t>
  </si>
  <si>
    <t xml:space="preserve">pd </t>
  </si>
  <si>
    <t>expected_loss_SQL</t>
  </si>
  <si>
    <t>expected_loss_Excel</t>
  </si>
  <si>
    <t xml:space="preserve"> Scenario</t>
  </si>
  <si>
    <t>PD_Multiplier</t>
  </si>
  <si>
    <t>Total_ECL</t>
  </si>
  <si>
    <t xml:space="preserve"> Base</t>
  </si>
  <si>
    <t>Adverse (+30% PD)</t>
  </si>
  <si>
    <t>Severe (+50% PD + LGD 60%)</t>
  </si>
  <si>
    <t>note</t>
  </si>
  <si>
    <t>Capital_Buffer_Needed (Adverse-Base)</t>
  </si>
  <si>
    <t>Total loans Excel</t>
  </si>
  <si>
    <t>PD check =SUM of defaults?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</si>
</sst>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8751-CA98-4D13-8B2B-1B53D852ABE4}">
  <dimension ref="A1:I65"/>
  <sheetViews>
    <sheetView topLeftCell="A40" workbookViewId="0">
      <selection activeCell="I2" sqref="I2:I65"/>
    </sheetView>
  </sheetViews>
  <sheetFormatPr defaultRowHeight="14.25" x14ac:dyDescent="0.45"/>
  <cols>
    <col min="1" max="1" width="14.265625" bestFit="1" customWidth="1"/>
    <col min="2" max="2" width="14.46484375" bestFit="1" customWidth="1"/>
    <col min="3" max="3" width="14.73046875" bestFit="1" customWidth="1"/>
    <col min="4" max="4" width="6.796875" bestFit="1" customWidth="1"/>
    <col min="5" max="5" width="8" bestFit="1" customWidth="1"/>
    <col min="6" max="6" width="6.73046875" bestFit="1" customWidth="1"/>
    <col min="7" max="7" width="10.73046875" bestFit="1" customWidth="1"/>
    <col min="8" max="8" width="11" bestFit="1" customWidth="1"/>
    <col min="9" max="9" width="11.86328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>
        <v>2359</v>
      </c>
      <c r="E2">
        <v>243</v>
      </c>
      <c r="F2">
        <v>0.10299999999999999</v>
      </c>
      <c r="G2">
        <v>303990864</v>
      </c>
      <c r="H2">
        <v>0.45</v>
      </c>
      <c r="I2">
        <v>14091310.289999999</v>
      </c>
    </row>
    <row r="3" spans="1:9" x14ac:dyDescent="0.45">
      <c r="A3" t="s">
        <v>9</v>
      </c>
      <c r="B3" t="s">
        <v>10</v>
      </c>
      <c r="C3" t="s">
        <v>12</v>
      </c>
      <c r="D3">
        <v>1522</v>
      </c>
      <c r="E3">
        <v>143</v>
      </c>
      <c r="F3">
        <v>9.4E-2</v>
      </c>
      <c r="G3">
        <v>194799838</v>
      </c>
      <c r="H3">
        <v>0.45</v>
      </c>
      <c r="I3">
        <v>8236116.6699999999</v>
      </c>
    </row>
    <row r="4" spans="1:9" x14ac:dyDescent="0.45">
      <c r="A4" t="s">
        <v>9</v>
      </c>
      <c r="B4" t="s">
        <v>10</v>
      </c>
      <c r="C4" t="s">
        <v>13</v>
      </c>
      <c r="D4">
        <v>2419</v>
      </c>
      <c r="E4">
        <v>225</v>
      </c>
      <c r="F4">
        <v>9.2999999999999999E-2</v>
      </c>
      <c r="G4">
        <v>311107904</v>
      </c>
      <c r="H4">
        <v>0.45</v>
      </c>
      <c r="I4">
        <v>13021775.640000001</v>
      </c>
    </row>
    <row r="5" spans="1:9" x14ac:dyDescent="0.45">
      <c r="A5" t="s">
        <v>9</v>
      </c>
      <c r="B5" t="s">
        <v>10</v>
      </c>
      <c r="C5" t="s">
        <v>14</v>
      </c>
      <c r="D5">
        <v>6344</v>
      </c>
      <c r="E5">
        <v>689</v>
      </c>
      <c r="F5">
        <v>0.1086</v>
      </c>
      <c r="G5">
        <v>824138715</v>
      </c>
      <c r="H5">
        <v>0.45</v>
      </c>
      <c r="I5">
        <v>40278090.890000001</v>
      </c>
    </row>
    <row r="6" spans="1:9" x14ac:dyDescent="0.45">
      <c r="A6" t="s">
        <v>9</v>
      </c>
      <c r="B6" t="s">
        <v>15</v>
      </c>
      <c r="C6" t="s">
        <v>11</v>
      </c>
      <c r="D6">
        <v>844</v>
      </c>
      <c r="E6">
        <v>200</v>
      </c>
      <c r="F6">
        <v>0.23699999999999999</v>
      </c>
      <c r="G6">
        <v>107408366</v>
      </c>
      <c r="H6">
        <v>0.45</v>
      </c>
      <c r="I6">
        <v>11453498.74</v>
      </c>
    </row>
    <row r="7" spans="1:9" x14ac:dyDescent="0.45">
      <c r="A7" t="s">
        <v>9</v>
      </c>
      <c r="B7" t="s">
        <v>15</v>
      </c>
      <c r="C7" t="s">
        <v>12</v>
      </c>
      <c r="D7">
        <v>524</v>
      </c>
      <c r="E7">
        <v>115</v>
      </c>
      <c r="F7">
        <v>0.2195</v>
      </c>
      <c r="G7">
        <v>68967166</v>
      </c>
      <c r="H7">
        <v>0.45</v>
      </c>
      <c r="I7">
        <v>6811165.7300000004</v>
      </c>
    </row>
    <row r="8" spans="1:9" x14ac:dyDescent="0.45">
      <c r="A8" t="s">
        <v>9</v>
      </c>
      <c r="B8" t="s">
        <v>15</v>
      </c>
      <c r="C8" t="s">
        <v>13</v>
      </c>
      <c r="D8">
        <v>850</v>
      </c>
      <c r="E8">
        <v>172</v>
      </c>
      <c r="F8">
        <v>0.2024</v>
      </c>
      <c r="G8">
        <v>111086352</v>
      </c>
      <c r="H8">
        <v>0.45</v>
      </c>
      <c r="I8">
        <v>10115392.52</v>
      </c>
    </row>
    <row r="9" spans="1:9" x14ac:dyDescent="0.45">
      <c r="A9" t="s">
        <v>9</v>
      </c>
      <c r="B9" t="s">
        <v>15</v>
      </c>
      <c r="C9" t="s">
        <v>14</v>
      </c>
      <c r="D9">
        <v>2321</v>
      </c>
      <c r="E9">
        <v>526</v>
      </c>
      <c r="F9">
        <v>0.2266</v>
      </c>
      <c r="G9">
        <v>298185399</v>
      </c>
      <c r="H9">
        <v>0.45</v>
      </c>
      <c r="I9">
        <v>30409514.84</v>
      </c>
    </row>
    <row r="10" spans="1:9" x14ac:dyDescent="0.45">
      <c r="A10" t="s">
        <v>9</v>
      </c>
      <c r="B10" t="s">
        <v>16</v>
      </c>
      <c r="C10" t="s">
        <v>11</v>
      </c>
      <c r="D10">
        <v>1840</v>
      </c>
      <c r="E10">
        <v>239</v>
      </c>
      <c r="F10">
        <v>0.12989999999999999</v>
      </c>
      <c r="G10">
        <v>236298430</v>
      </c>
      <c r="H10">
        <v>0.45</v>
      </c>
      <c r="I10">
        <v>13811900.08</v>
      </c>
    </row>
    <row r="11" spans="1:9" x14ac:dyDescent="0.45">
      <c r="A11" t="s">
        <v>9</v>
      </c>
      <c r="B11" t="s">
        <v>16</v>
      </c>
      <c r="C11" t="s">
        <v>12</v>
      </c>
      <c r="D11">
        <v>1154</v>
      </c>
      <c r="E11">
        <v>135</v>
      </c>
      <c r="F11">
        <v>0.11700000000000001</v>
      </c>
      <c r="G11">
        <v>145538508</v>
      </c>
      <c r="H11">
        <v>0.45</v>
      </c>
      <c r="I11">
        <v>7661580.9000000004</v>
      </c>
    </row>
    <row r="12" spans="1:9" x14ac:dyDescent="0.45">
      <c r="A12" t="s">
        <v>9</v>
      </c>
      <c r="B12" t="s">
        <v>16</v>
      </c>
      <c r="C12" t="s">
        <v>13</v>
      </c>
      <c r="D12">
        <v>1786</v>
      </c>
      <c r="E12">
        <v>198</v>
      </c>
      <c r="F12">
        <v>0.1109</v>
      </c>
      <c r="G12">
        <v>232088708</v>
      </c>
      <c r="H12">
        <v>0.45</v>
      </c>
      <c r="I12">
        <v>11578445.619999999</v>
      </c>
    </row>
    <row r="13" spans="1:9" x14ac:dyDescent="0.45">
      <c r="A13" t="s">
        <v>9</v>
      </c>
      <c r="B13" t="s">
        <v>16</v>
      </c>
      <c r="C13" t="s">
        <v>14</v>
      </c>
      <c r="D13">
        <v>4588</v>
      </c>
      <c r="E13">
        <v>614</v>
      </c>
      <c r="F13">
        <v>0.1338</v>
      </c>
      <c r="G13">
        <v>590921761</v>
      </c>
      <c r="H13">
        <v>0.45</v>
      </c>
      <c r="I13">
        <v>35586678.850000001</v>
      </c>
    </row>
    <row r="14" spans="1:9" x14ac:dyDescent="0.45">
      <c r="A14" t="s">
        <v>9</v>
      </c>
      <c r="B14" t="s">
        <v>17</v>
      </c>
      <c r="C14" t="s">
        <v>11</v>
      </c>
      <c r="D14">
        <v>2857</v>
      </c>
      <c r="E14">
        <v>221</v>
      </c>
      <c r="F14">
        <v>7.7399999999999997E-2</v>
      </c>
      <c r="G14">
        <v>365189289</v>
      </c>
      <c r="H14">
        <v>0.45</v>
      </c>
      <c r="I14">
        <v>12711961.77</v>
      </c>
    </row>
    <row r="15" spans="1:9" x14ac:dyDescent="0.45">
      <c r="A15" t="s">
        <v>9</v>
      </c>
      <c r="B15" t="s">
        <v>17</v>
      </c>
      <c r="C15" t="s">
        <v>12</v>
      </c>
      <c r="D15">
        <v>1806</v>
      </c>
      <c r="E15">
        <v>133</v>
      </c>
      <c r="F15">
        <v>7.3599999999999999E-2</v>
      </c>
      <c r="G15">
        <v>231105154</v>
      </c>
      <c r="H15">
        <v>0.45</v>
      </c>
      <c r="I15">
        <v>7658717.3099999996</v>
      </c>
    </row>
    <row r="16" spans="1:9" x14ac:dyDescent="0.45">
      <c r="A16" t="s">
        <v>9</v>
      </c>
      <c r="B16" t="s">
        <v>17</v>
      </c>
      <c r="C16" t="s">
        <v>13</v>
      </c>
      <c r="D16">
        <v>2860</v>
      </c>
      <c r="E16">
        <v>248</v>
      </c>
      <c r="F16">
        <v>8.6699999999999999E-2</v>
      </c>
      <c r="G16">
        <v>362067943</v>
      </c>
      <c r="H16">
        <v>0.45</v>
      </c>
      <c r="I16">
        <v>14128245.609999999</v>
      </c>
    </row>
    <row r="17" spans="1:9" x14ac:dyDescent="0.45">
      <c r="A17" t="s">
        <v>9</v>
      </c>
      <c r="B17" t="s">
        <v>17</v>
      </c>
      <c r="C17" t="s">
        <v>14</v>
      </c>
      <c r="D17">
        <v>7773</v>
      </c>
      <c r="E17">
        <v>683</v>
      </c>
      <c r="F17">
        <v>8.7900000000000006E-2</v>
      </c>
      <c r="G17">
        <v>989297594</v>
      </c>
      <c r="H17">
        <v>0.45</v>
      </c>
      <c r="I17">
        <v>39117537.049999997</v>
      </c>
    </row>
    <row r="18" spans="1:9" x14ac:dyDescent="0.45">
      <c r="A18" t="s">
        <v>18</v>
      </c>
      <c r="B18" t="s">
        <v>10</v>
      </c>
      <c r="C18" t="s">
        <v>11</v>
      </c>
      <c r="D18">
        <v>1812</v>
      </c>
      <c r="E18">
        <v>164</v>
      </c>
      <c r="F18">
        <v>9.0499999999999997E-2</v>
      </c>
      <c r="G18">
        <v>234330966</v>
      </c>
      <c r="H18">
        <v>0.45</v>
      </c>
      <c r="I18">
        <v>9543943.3200000003</v>
      </c>
    </row>
    <row r="19" spans="1:9" x14ac:dyDescent="0.45">
      <c r="A19" t="s">
        <v>18</v>
      </c>
      <c r="B19" t="s">
        <v>10</v>
      </c>
      <c r="C19" t="s">
        <v>12</v>
      </c>
      <c r="D19">
        <v>1165</v>
      </c>
      <c r="E19">
        <v>105</v>
      </c>
      <c r="F19">
        <v>9.01E-2</v>
      </c>
      <c r="G19">
        <v>149142634</v>
      </c>
      <c r="H19">
        <v>0.45</v>
      </c>
      <c r="I19">
        <v>6048917.9900000002</v>
      </c>
    </row>
    <row r="20" spans="1:9" x14ac:dyDescent="0.45">
      <c r="A20" t="s">
        <v>18</v>
      </c>
      <c r="B20" t="s">
        <v>10</v>
      </c>
      <c r="C20" t="s">
        <v>13</v>
      </c>
      <c r="D20">
        <v>1771</v>
      </c>
      <c r="E20">
        <v>151</v>
      </c>
      <c r="F20">
        <v>8.5300000000000001E-2</v>
      </c>
      <c r="G20">
        <v>227547793</v>
      </c>
      <c r="H20">
        <v>0.45</v>
      </c>
      <c r="I20">
        <v>8730588.6699999999</v>
      </c>
    </row>
    <row r="21" spans="1:9" x14ac:dyDescent="0.45">
      <c r="A21" t="s">
        <v>18</v>
      </c>
      <c r="B21" t="s">
        <v>10</v>
      </c>
      <c r="C21" t="s">
        <v>14</v>
      </c>
      <c r="D21">
        <v>4766</v>
      </c>
      <c r="E21">
        <v>455</v>
      </c>
      <c r="F21">
        <v>9.5500000000000002E-2</v>
      </c>
      <c r="G21">
        <v>605531203</v>
      </c>
      <c r="H21">
        <v>0.45</v>
      </c>
      <c r="I21">
        <v>26013955.899999999</v>
      </c>
    </row>
    <row r="22" spans="1:9" x14ac:dyDescent="0.45">
      <c r="A22" t="s">
        <v>18</v>
      </c>
      <c r="B22" t="s">
        <v>15</v>
      </c>
      <c r="C22" t="s">
        <v>11</v>
      </c>
      <c r="D22">
        <v>653</v>
      </c>
      <c r="E22">
        <v>124</v>
      </c>
      <c r="F22">
        <v>0.18990000000000001</v>
      </c>
      <c r="G22">
        <v>80628206</v>
      </c>
      <c r="H22">
        <v>0.45</v>
      </c>
      <c r="I22">
        <v>6889822.2000000002</v>
      </c>
    </row>
    <row r="23" spans="1:9" x14ac:dyDescent="0.45">
      <c r="A23" t="s">
        <v>18</v>
      </c>
      <c r="B23" t="s">
        <v>15</v>
      </c>
      <c r="C23" t="s">
        <v>12</v>
      </c>
      <c r="D23">
        <v>427</v>
      </c>
      <c r="E23">
        <v>78</v>
      </c>
      <c r="F23">
        <v>0.1827</v>
      </c>
      <c r="G23">
        <v>52392625</v>
      </c>
      <c r="H23">
        <v>0.45</v>
      </c>
      <c r="I23">
        <v>4306747.3899999997</v>
      </c>
    </row>
    <row r="24" spans="1:9" x14ac:dyDescent="0.45">
      <c r="A24" t="s">
        <v>18</v>
      </c>
      <c r="B24" t="s">
        <v>15</v>
      </c>
      <c r="C24" t="s">
        <v>13</v>
      </c>
      <c r="D24">
        <v>673</v>
      </c>
      <c r="E24">
        <v>137</v>
      </c>
      <c r="F24">
        <v>0.2036</v>
      </c>
      <c r="G24">
        <v>86753750</v>
      </c>
      <c r="H24">
        <v>0.45</v>
      </c>
      <c r="I24">
        <v>7947056</v>
      </c>
    </row>
    <row r="25" spans="1:9" x14ac:dyDescent="0.45">
      <c r="A25" t="s">
        <v>18</v>
      </c>
      <c r="B25" t="s">
        <v>15</v>
      </c>
      <c r="C25" t="s">
        <v>14</v>
      </c>
      <c r="D25">
        <v>1845</v>
      </c>
      <c r="E25">
        <v>418</v>
      </c>
      <c r="F25">
        <v>0.2266</v>
      </c>
      <c r="G25">
        <v>235340122</v>
      </c>
      <c r="H25">
        <v>0.45</v>
      </c>
      <c r="I25">
        <v>23993212.440000001</v>
      </c>
    </row>
    <row r="26" spans="1:9" x14ac:dyDescent="0.45">
      <c r="A26" t="s">
        <v>18</v>
      </c>
      <c r="B26" t="s">
        <v>16</v>
      </c>
      <c r="C26" t="s">
        <v>11</v>
      </c>
      <c r="D26">
        <v>1295</v>
      </c>
      <c r="E26">
        <v>147</v>
      </c>
      <c r="F26">
        <v>0.1135</v>
      </c>
      <c r="G26">
        <v>163208745</v>
      </c>
      <c r="H26">
        <v>0.45</v>
      </c>
      <c r="I26">
        <v>8336879.1399999997</v>
      </c>
    </row>
    <row r="27" spans="1:9" x14ac:dyDescent="0.45">
      <c r="A27" t="s">
        <v>18</v>
      </c>
      <c r="B27" t="s">
        <v>16</v>
      </c>
      <c r="C27" t="s">
        <v>12</v>
      </c>
      <c r="D27">
        <v>873</v>
      </c>
      <c r="E27">
        <v>99</v>
      </c>
      <c r="F27">
        <v>0.1134</v>
      </c>
      <c r="G27">
        <v>111064135</v>
      </c>
      <c r="H27">
        <v>0.45</v>
      </c>
      <c r="I27">
        <v>5667705.8600000003</v>
      </c>
    </row>
    <row r="28" spans="1:9" x14ac:dyDescent="0.45">
      <c r="A28" t="s">
        <v>18</v>
      </c>
      <c r="B28" t="s">
        <v>16</v>
      </c>
      <c r="C28" t="s">
        <v>13</v>
      </c>
      <c r="D28">
        <v>1308</v>
      </c>
      <c r="E28">
        <v>140</v>
      </c>
      <c r="F28">
        <v>0.107</v>
      </c>
      <c r="G28">
        <v>164317730</v>
      </c>
      <c r="H28">
        <v>0.45</v>
      </c>
      <c r="I28">
        <v>7914386.0800000001</v>
      </c>
    </row>
    <row r="29" spans="1:9" x14ac:dyDescent="0.45">
      <c r="A29" t="s">
        <v>18</v>
      </c>
      <c r="B29" t="s">
        <v>16</v>
      </c>
      <c r="C29" t="s">
        <v>14</v>
      </c>
      <c r="D29">
        <v>3637</v>
      </c>
      <c r="E29">
        <v>432</v>
      </c>
      <c r="F29">
        <v>0.1188</v>
      </c>
      <c r="G29">
        <v>461534793</v>
      </c>
      <c r="H29">
        <v>0.45</v>
      </c>
      <c r="I29">
        <v>24669332.899999999</v>
      </c>
    </row>
    <row r="30" spans="1:9" x14ac:dyDescent="0.45">
      <c r="A30" t="s">
        <v>18</v>
      </c>
      <c r="B30" t="s">
        <v>17</v>
      </c>
      <c r="C30" t="s">
        <v>11</v>
      </c>
      <c r="D30">
        <v>2196</v>
      </c>
      <c r="E30">
        <v>153</v>
      </c>
      <c r="F30">
        <v>6.9699999999999998E-2</v>
      </c>
      <c r="G30">
        <v>277033301</v>
      </c>
      <c r="H30">
        <v>0.45</v>
      </c>
      <c r="I30">
        <v>8685675.2200000007</v>
      </c>
    </row>
    <row r="31" spans="1:9" x14ac:dyDescent="0.45">
      <c r="A31" t="s">
        <v>18</v>
      </c>
      <c r="B31" t="s">
        <v>17</v>
      </c>
      <c r="C31" t="s">
        <v>12</v>
      </c>
      <c r="D31">
        <v>1455</v>
      </c>
      <c r="E31">
        <v>101</v>
      </c>
      <c r="F31">
        <v>6.9400000000000003E-2</v>
      </c>
      <c r="G31">
        <v>186698460</v>
      </c>
      <c r="H31">
        <v>0.45</v>
      </c>
      <c r="I31">
        <v>5831920.9699999997</v>
      </c>
    </row>
    <row r="32" spans="1:9" x14ac:dyDescent="0.45">
      <c r="A32" t="s">
        <v>18</v>
      </c>
      <c r="B32" t="s">
        <v>17</v>
      </c>
      <c r="C32" t="s">
        <v>13</v>
      </c>
      <c r="D32">
        <v>2192</v>
      </c>
      <c r="E32">
        <v>157</v>
      </c>
      <c r="F32">
        <v>7.1599999999999997E-2</v>
      </c>
      <c r="G32">
        <v>280185658</v>
      </c>
      <c r="H32">
        <v>0.45</v>
      </c>
      <c r="I32">
        <v>9030618.9499999993</v>
      </c>
    </row>
    <row r="33" spans="1:9" x14ac:dyDescent="0.45">
      <c r="A33" t="s">
        <v>18</v>
      </c>
      <c r="B33" t="s">
        <v>17</v>
      </c>
      <c r="C33" t="s">
        <v>14</v>
      </c>
      <c r="D33">
        <v>6005</v>
      </c>
      <c r="E33">
        <v>548</v>
      </c>
      <c r="F33">
        <v>9.1300000000000006E-2</v>
      </c>
      <c r="G33">
        <v>773348056</v>
      </c>
      <c r="H33">
        <v>0.45</v>
      </c>
      <c r="I33">
        <v>31758139.98</v>
      </c>
    </row>
    <row r="34" spans="1:9" x14ac:dyDescent="0.45">
      <c r="A34" t="s">
        <v>19</v>
      </c>
      <c r="B34" t="s">
        <v>10</v>
      </c>
      <c r="C34" t="s">
        <v>11</v>
      </c>
      <c r="D34">
        <v>7215</v>
      </c>
      <c r="E34">
        <v>773</v>
      </c>
      <c r="F34">
        <v>0.1071</v>
      </c>
      <c r="G34">
        <v>912123163</v>
      </c>
      <c r="H34">
        <v>0.45</v>
      </c>
      <c r="I34">
        <v>43975335.030000001</v>
      </c>
    </row>
    <row r="35" spans="1:9" x14ac:dyDescent="0.45">
      <c r="A35" t="s">
        <v>19</v>
      </c>
      <c r="B35" t="s">
        <v>10</v>
      </c>
      <c r="C35" t="s">
        <v>12</v>
      </c>
      <c r="D35">
        <v>4510</v>
      </c>
      <c r="E35">
        <v>454</v>
      </c>
      <c r="F35">
        <v>0.1007</v>
      </c>
      <c r="G35">
        <v>575748210</v>
      </c>
      <c r="H35">
        <v>0.45</v>
      </c>
      <c r="I35">
        <v>26081010.93</v>
      </c>
    </row>
    <row r="36" spans="1:9" x14ac:dyDescent="0.45">
      <c r="A36" t="s">
        <v>19</v>
      </c>
      <c r="B36" t="s">
        <v>10</v>
      </c>
      <c r="C36" t="s">
        <v>13</v>
      </c>
      <c r="D36">
        <v>7033</v>
      </c>
      <c r="E36">
        <v>681</v>
      </c>
      <c r="F36">
        <v>9.6799999999999997E-2</v>
      </c>
      <c r="G36">
        <v>900669794</v>
      </c>
      <c r="H36">
        <v>0.45</v>
      </c>
      <c r="I36">
        <v>39245024.649999999</v>
      </c>
    </row>
    <row r="37" spans="1:9" x14ac:dyDescent="0.45">
      <c r="A37" t="s">
        <v>19</v>
      </c>
      <c r="B37" t="s">
        <v>10</v>
      </c>
      <c r="C37" t="s">
        <v>14</v>
      </c>
      <c r="D37">
        <v>19589</v>
      </c>
      <c r="E37">
        <v>2168</v>
      </c>
      <c r="F37">
        <v>0.11070000000000001</v>
      </c>
      <c r="G37">
        <v>2492395618</v>
      </c>
      <c r="H37">
        <v>0.45</v>
      </c>
      <c r="I37">
        <v>124129928.27</v>
      </c>
    </row>
    <row r="38" spans="1:9" x14ac:dyDescent="0.45">
      <c r="A38" t="s">
        <v>19</v>
      </c>
      <c r="B38" t="s">
        <v>15</v>
      </c>
      <c r="C38" t="s">
        <v>11</v>
      </c>
      <c r="D38">
        <v>2740</v>
      </c>
      <c r="E38">
        <v>633</v>
      </c>
      <c r="F38">
        <v>0.23100000000000001</v>
      </c>
      <c r="G38">
        <v>355011905</v>
      </c>
      <c r="H38">
        <v>0.45</v>
      </c>
      <c r="I38">
        <v>36906985.82</v>
      </c>
    </row>
    <row r="39" spans="1:9" x14ac:dyDescent="0.45">
      <c r="A39" t="s">
        <v>19</v>
      </c>
      <c r="B39" t="s">
        <v>15</v>
      </c>
      <c r="C39" t="s">
        <v>12</v>
      </c>
      <c r="D39">
        <v>1633</v>
      </c>
      <c r="E39">
        <v>328</v>
      </c>
      <c r="F39">
        <v>0.2009</v>
      </c>
      <c r="G39">
        <v>207880006</v>
      </c>
      <c r="H39">
        <v>0.45</v>
      </c>
      <c r="I39">
        <v>18789399.199999999</v>
      </c>
    </row>
    <row r="40" spans="1:9" x14ac:dyDescent="0.45">
      <c r="A40" t="s">
        <v>19</v>
      </c>
      <c r="B40" t="s">
        <v>15</v>
      </c>
      <c r="C40" t="s">
        <v>13</v>
      </c>
      <c r="D40">
        <v>2739</v>
      </c>
      <c r="E40">
        <v>628</v>
      </c>
      <c r="F40">
        <v>0.2293</v>
      </c>
      <c r="G40">
        <v>350697359</v>
      </c>
      <c r="H40">
        <v>0.45</v>
      </c>
      <c r="I40">
        <v>36183670.560000002</v>
      </c>
    </row>
    <row r="41" spans="1:9" x14ac:dyDescent="0.45">
      <c r="A41" t="s">
        <v>19</v>
      </c>
      <c r="B41" t="s">
        <v>15</v>
      </c>
      <c r="C41" t="s">
        <v>14</v>
      </c>
      <c r="D41">
        <v>7417</v>
      </c>
      <c r="E41">
        <v>1735</v>
      </c>
      <c r="F41">
        <v>0.2339</v>
      </c>
      <c r="G41">
        <v>950832813</v>
      </c>
      <c r="H41">
        <v>0.45</v>
      </c>
      <c r="I41">
        <v>100089351.31999999</v>
      </c>
    </row>
    <row r="42" spans="1:9" x14ac:dyDescent="0.45">
      <c r="A42" t="s">
        <v>19</v>
      </c>
      <c r="B42" t="s">
        <v>16</v>
      </c>
      <c r="C42" t="s">
        <v>11</v>
      </c>
      <c r="D42">
        <v>5319</v>
      </c>
      <c r="E42">
        <v>757</v>
      </c>
      <c r="F42">
        <v>0.14230000000000001</v>
      </c>
      <c r="G42">
        <v>686576341</v>
      </c>
      <c r="H42">
        <v>0.45</v>
      </c>
      <c r="I42">
        <v>43971090.539999999</v>
      </c>
    </row>
    <row r="43" spans="1:9" x14ac:dyDescent="0.45">
      <c r="A43" t="s">
        <v>19</v>
      </c>
      <c r="B43" t="s">
        <v>16</v>
      </c>
      <c r="C43" t="s">
        <v>12</v>
      </c>
      <c r="D43">
        <v>3410</v>
      </c>
      <c r="E43">
        <v>397</v>
      </c>
      <c r="F43">
        <v>0.1164</v>
      </c>
      <c r="G43">
        <v>426557182</v>
      </c>
      <c r="H43">
        <v>0.45</v>
      </c>
      <c r="I43">
        <v>22347343.27</v>
      </c>
    </row>
    <row r="44" spans="1:9" x14ac:dyDescent="0.45">
      <c r="A44" t="s">
        <v>19</v>
      </c>
      <c r="B44" t="s">
        <v>16</v>
      </c>
      <c r="C44" t="s">
        <v>13</v>
      </c>
      <c r="D44">
        <v>5458</v>
      </c>
      <c r="E44">
        <v>742</v>
      </c>
      <c r="F44">
        <v>0.13589999999999999</v>
      </c>
      <c r="G44">
        <v>690772621</v>
      </c>
      <c r="H44">
        <v>0.45</v>
      </c>
      <c r="I44">
        <v>42258882.039999999</v>
      </c>
    </row>
    <row r="45" spans="1:9" x14ac:dyDescent="0.45">
      <c r="A45" t="s">
        <v>19</v>
      </c>
      <c r="B45" t="s">
        <v>16</v>
      </c>
      <c r="C45" t="s">
        <v>14</v>
      </c>
      <c r="D45">
        <v>14636</v>
      </c>
      <c r="E45">
        <v>2059</v>
      </c>
      <c r="F45">
        <v>0.14069999999999999</v>
      </c>
      <c r="G45">
        <v>1864168893</v>
      </c>
      <c r="H45">
        <v>0.45</v>
      </c>
      <c r="I45">
        <v>118013506.95999999</v>
      </c>
    </row>
    <row r="46" spans="1:9" x14ac:dyDescent="0.45">
      <c r="A46" t="s">
        <v>19</v>
      </c>
      <c r="B46" t="s">
        <v>17</v>
      </c>
      <c r="C46" t="s">
        <v>11</v>
      </c>
      <c r="D46">
        <v>9123</v>
      </c>
      <c r="E46">
        <v>887</v>
      </c>
      <c r="F46">
        <v>9.7199999999999995E-2</v>
      </c>
      <c r="G46">
        <v>1164507652</v>
      </c>
      <c r="H46">
        <v>0.45</v>
      </c>
      <c r="I46">
        <v>50949603.119999997</v>
      </c>
    </row>
    <row r="47" spans="1:9" x14ac:dyDescent="0.45">
      <c r="A47" t="s">
        <v>19</v>
      </c>
      <c r="B47" t="s">
        <v>17</v>
      </c>
      <c r="C47" t="s">
        <v>12</v>
      </c>
      <c r="D47">
        <v>5779</v>
      </c>
      <c r="E47">
        <v>533</v>
      </c>
      <c r="F47">
        <v>9.2200000000000004E-2</v>
      </c>
      <c r="G47">
        <v>735780376</v>
      </c>
      <c r="H47">
        <v>0.45</v>
      </c>
      <c r="I47">
        <v>30537622.98</v>
      </c>
    </row>
    <row r="48" spans="1:9" x14ac:dyDescent="0.45">
      <c r="A48" t="s">
        <v>19</v>
      </c>
      <c r="B48" t="s">
        <v>17</v>
      </c>
      <c r="C48" t="s">
        <v>13</v>
      </c>
      <c r="D48">
        <v>9104</v>
      </c>
      <c r="E48">
        <v>894</v>
      </c>
      <c r="F48">
        <v>9.8199999999999996E-2</v>
      </c>
      <c r="G48">
        <v>1157911597</v>
      </c>
      <c r="H48">
        <v>0.45</v>
      </c>
      <c r="I48">
        <v>51167380.869999997</v>
      </c>
    </row>
    <row r="49" spans="1:9" x14ac:dyDescent="0.45">
      <c r="A49" t="s">
        <v>19</v>
      </c>
      <c r="B49" t="s">
        <v>17</v>
      </c>
      <c r="C49" t="s">
        <v>14</v>
      </c>
      <c r="D49">
        <v>24518</v>
      </c>
      <c r="E49">
        <v>2576</v>
      </c>
      <c r="F49">
        <v>0.1051</v>
      </c>
      <c r="G49">
        <v>3123649281</v>
      </c>
      <c r="H49">
        <v>0.45</v>
      </c>
      <c r="I49">
        <v>147684731.47999999</v>
      </c>
    </row>
    <row r="50" spans="1:9" x14ac:dyDescent="0.45">
      <c r="A50" t="s">
        <v>20</v>
      </c>
      <c r="B50" t="s">
        <v>10</v>
      </c>
      <c r="C50" t="s">
        <v>11</v>
      </c>
      <c r="D50">
        <v>2889</v>
      </c>
      <c r="E50">
        <v>241</v>
      </c>
      <c r="F50">
        <v>8.3400000000000002E-2</v>
      </c>
      <c r="G50">
        <v>365868751</v>
      </c>
      <c r="H50">
        <v>0.45</v>
      </c>
      <c r="I50">
        <v>13734325.390000001</v>
      </c>
    </row>
    <row r="51" spans="1:9" x14ac:dyDescent="0.45">
      <c r="A51" t="s">
        <v>20</v>
      </c>
      <c r="B51" t="s">
        <v>10</v>
      </c>
      <c r="C51" t="s">
        <v>12</v>
      </c>
      <c r="D51">
        <v>1776</v>
      </c>
      <c r="E51">
        <v>145</v>
      </c>
      <c r="F51">
        <v>8.1600000000000006E-2</v>
      </c>
      <c r="G51">
        <v>225935253</v>
      </c>
      <c r="H51">
        <v>0.45</v>
      </c>
      <c r="I51">
        <v>8300830.6600000001</v>
      </c>
    </row>
    <row r="52" spans="1:9" x14ac:dyDescent="0.45">
      <c r="A52" t="s">
        <v>20</v>
      </c>
      <c r="B52" t="s">
        <v>10</v>
      </c>
      <c r="C52" t="s">
        <v>13</v>
      </c>
      <c r="D52">
        <v>2895</v>
      </c>
      <c r="E52">
        <v>215</v>
      </c>
      <c r="F52">
        <v>7.4300000000000005E-2</v>
      </c>
      <c r="G52">
        <v>367542904</v>
      </c>
      <c r="H52">
        <v>0.45</v>
      </c>
      <c r="I52">
        <v>12283169.59</v>
      </c>
    </row>
    <row r="53" spans="1:9" x14ac:dyDescent="0.45">
      <c r="A53" t="s">
        <v>20</v>
      </c>
      <c r="B53" t="s">
        <v>10</v>
      </c>
      <c r="C53" t="s">
        <v>14</v>
      </c>
      <c r="D53">
        <v>7661</v>
      </c>
      <c r="E53">
        <v>713</v>
      </c>
      <c r="F53">
        <v>9.3100000000000002E-2</v>
      </c>
      <c r="G53">
        <v>978866094</v>
      </c>
      <c r="H53">
        <v>0.45</v>
      </c>
      <c r="I53">
        <v>40995847.310000002</v>
      </c>
    </row>
    <row r="54" spans="1:9" x14ac:dyDescent="0.45">
      <c r="A54" t="s">
        <v>20</v>
      </c>
      <c r="B54" t="s">
        <v>15</v>
      </c>
      <c r="C54" t="s">
        <v>11</v>
      </c>
      <c r="D54">
        <v>1057</v>
      </c>
      <c r="E54">
        <v>209</v>
      </c>
      <c r="F54">
        <v>0.19769999999999999</v>
      </c>
      <c r="G54">
        <v>130368105</v>
      </c>
      <c r="H54">
        <v>0.45</v>
      </c>
      <c r="I54">
        <v>11599924.57</v>
      </c>
    </row>
    <row r="55" spans="1:9" x14ac:dyDescent="0.45">
      <c r="A55" t="s">
        <v>20</v>
      </c>
      <c r="B55" t="s">
        <v>15</v>
      </c>
      <c r="C55" t="s">
        <v>12</v>
      </c>
      <c r="D55">
        <v>679</v>
      </c>
      <c r="E55">
        <v>116</v>
      </c>
      <c r="F55">
        <v>0.17080000000000001</v>
      </c>
      <c r="G55">
        <v>85836457</v>
      </c>
      <c r="H55">
        <v>0.45</v>
      </c>
      <c r="I55">
        <v>6598914.6600000001</v>
      </c>
    </row>
    <row r="56" spans="1:9" x14ac:dyDescent="0.45">
      <c r="A56" t="s">
        <v>20</v>
      </c>
      <c r="B56" t="s">
        <v>15</v>
      </c>
      <c r="C56" t="s">
        <v>13</v>
      </c>
      <c r="D56">
        <v>1084</v>
      </c>
      <c r="E56">
        <v>211</v>
      </c>
      <c r="F56">
        <v>0.1946</v>
      </c>
      <c r="G56">
        <v>138812306</v>
      </c>
      <c r="H56">
        <v>0.45</v>
      </c>
      <c r="I56">
        <v>12158882.34</v>
      </c>
    </row>
    <row r="57" spans="1:9" x14ac:dyDescent="0.45">
      <c r="A57" t="s">
        <v>20</v>
      </c>
      <c r="B57" t="s">
        <v>15</v>
      </c>
      <c r="C57" t="s">
        <v>14</v>
      </c>
      <c r="D57">
        <v>2916</v>
      </c>
      <c r="E57">
        <v>606</v>
      </c>
      <c r="F57">
        <v>0.20780000000000001</v>
      </c>
      <c r="G57">
        <v>372306334</v>
      </c>
      <c r="H57">
        <v>0.45</v>
      </c>
      <c r="I57">
        <v>34817536.789999999</v>
      </c>
    </row>
    <row r="58" spans="1:9" x14ac:dyDescent="0.45">
      <c r="A58" t="s">
        <v>20</v>
      </c>
      <c r="B58" t="s">
        <v>16</v>
      </c>
      <c r="C58" t="s">
        <v>11</v>
      </c>
      <c r="D58">
        <v>2157</v>
      </c>
      <c r="E58">
        <v>235</v>
      </c>
      <c r="F58">
        <v>0.1089</v>
      </c>
      <c r="G58">
        <v>279210159</v>
      </c>
      <c r="H58">
        <v>0.45</v>
      </c>
      <c r="I58">
        <v>13688676.08</v>
      </c>
    </row>
    <row r="59" spans="1:9" x14ac:dyDescent="0.45">
      <c r="A59" t="s">
        <v>20</v>
      </c>
      <c r="B59" t="s">
        <v>16</v>
      </c>
      <c r="C59" t="s">
        <v>12</v>
      </c>
      <c r="D59">
        <v>1333</v>
      </c>
      <c r="E59">
        <v>121</v>
      </c>
      <c r="F59">
        <v>9.0800000000000006E-2</v>
      </c>
      <c r="G59">
        <v>167541231</v>
      </c>
      <c r="H59">
        <v>0.45</v>
      </c>
      <c r="I59">
        <v>6843675.9400000004</v>
      </c>
    </row>
    <row r="60" spans="1:9" x14ac:dyDescent="0.45">
      <c r="A60" t="s">
        <v>20</v>
      </c>
      <c r="B60" t="s">
        <v>16</v>
      </c>
      <c r="C60" t="s">
        <v>13</v>
      </c>
      <c r="D60">
        <v>2130</v>
      </c>
      <c r="E60">
        <v>220</v>
      </c>
      <c r="F60">
        <v>0.1033</v>
      </c>
      <c r="G60">
        <v>268820591</v>
      </c>
      <c r="H60">
        <v>0.45</v>
      </c>
      <c r="I60">
        <v>12494478.17</v>
      </c>
    </row>
    <row r="61" spans="1:9" x14ac:dyDescent="0.45">
      <c r="A61" t="s">
        <v>20</v>
      </c>
      <c r="B61" t="s">
        <v>16</v>
      </c>
      <c r="C61" t="s">
        <v>14</v>
      </c>
      <c r="D61">
        <v>5727</v>
      </c>
      <c r="E61">
        <v>707</v>
      </c>
      <c r="F61">
        <v>0.1235</v>
      </c>
      <c r="G61">
        <v>724195892</v>
      </c>
      <c r="H61">
        <v>0.45</v>
      </c>
      <c r="I61">
        <v>40230997.560000002</v>
      </c>
    </row>
    <row r="62" spans="1:9" x14ac:dyDescent="0.45">
      <c r="A62" t="s">
        <v>20</v>
      </c>
      <c r="B62" t="s">
        <v>17</v>
      </c>
      <c r="C62" t="s">
        <v>11</v>
      </c>
      <c r="D62">
        <v>3605</v>
      </c>
      <c r="E62">
        <v>288</v>
      </c>
      <c r="F62">
        <v>7.9899999999999999E-2</v>
      </c>
      <c r="G62">
        <v>462534937</v>
      </c>
      <c r="H62">
        <v>0.45</v>
      </c>
      <c r="I62">
        <v>16628163.060000001</v>
      </c>
    </row>
    <row r="63" spans="1:9" x14ac:dyDescent="0.45">
      <c r="A63" t="s">
        <v>20</v>
      </c>
      <c r="B63" t="s">
        <v>17</v>
      </c>
      <c r="C63" t="s">
        <v>12</v>
      </c>
      <c r="D63">
        <v>2278</v>
      </c>
      <c r="E63">
        <v>140</v>
      </c>
      <c r="F63">
        <v>6.1499999999999999E-2</v>
      </c>
      <c r="G63">
        <v>289697994</v>
      </c>
      <c r="H63">
        <v>0.45</v>
      </c>
      <c r="I63">
        <v>8011840.9199999999</v>
      </c>
    </row>
    <row r="64" spans="1:9" x14ac:dyDescent="0.45">
      <c r="A64" t="s">
        <v>20</v>
      </c>
      <c r="B64" t="s">
        <v>17</v>
      </c>
      <c r="C64" t="s">
        <v>13</v>
      </c>
      <c r="D64">
        <v>3463</v>
      </c>
      <c r="E64">
        <v>284</v>
      </c>
      <c r="F64">
        <v>8.2000000000000003E-2</v>
      </c>
      <c r="G64">
        <v>439212040</v>
      </c>
      <c r="H64">
        <v>0.45</v>
      </c>
      <c r="I64">
        <v>16208864.77</v>
      </c>
    </row>
    <row r="65" spans="1:9" x14ac:dyDescent="0.45">
      <c r="A65" t="s">
        <v>20</v>
      </c>
      <c r="B65" t="s">
        <v>17</v>
      </c>
      <c r="C65" t="s">
        <v>14</v>
      </c>
      <c r="D65">
        <v>9554</v>
      </c>
      <c r="E65">
        <v>764</v>
      </c>
      <c r="F65">
        <v>0.08</v>
      </c>
      <c r="G65">
        <v>1223598545</v>
      </c>
      <c r="H65">
        <v>0.45</v>
      </c>
      <c r="I65">
        <v>44031105.270000003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49A35-1A71-4FA9-9BB3-0C46FEE5A668}">
  <dimension ref="A1:D2"/>
  <sheetViews>
    <sheetView workbookViewId="0">
      <selection sqref="A1:D1048576"/>
    </sheetView>
  </sheetViews>
  <sheetFormatPr defaultRowHeight="14.25" x14ac:dyDescent="0.45"/>
  <cols>
    <col min="1" max="1" width="6.73046875" bestFit="1" customWidth="1"/>
    <col min="2" max="2" width="8" bestFit="1" customWidth="1"/>
    <col min="3" max="3" width="6.06640625" bestFit="1" customWidth="1"/>
    <col min="4" max="4" width="11.73046875" bestFit="1" customWidth="1"/>
  </cols>
  <sheetData>
    <row r="1" spans="1:4" x14ac:dyDescent="0.45">
      <c r="A1" t="s">
        <v>21</v>
      </c>
      <c r="B1" t="s">
        <v>4</v>
      </c>
      <c r="C1" t="s">
        <v>22</v>
      </c>
      <c r="D1" t="s">
        <v>6</v>
      </c>
    </row>
    <row r="2" spans="1:4" x14ac:dyDescent="0.45">
      <c r="A2">
        <v>255347</v>
      </c>
      <c r="B2">
        <v>29653</v>
      </c>
      <c r="C2">
        <v>11.61</v>
      </c>
      <c r="D2">
        <v>32576880572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66E9-9E83-4BE7-8CE7-3C4757AA4FF5}">
  <dimension ref="A1:D5"/>
  <sheetViews>
    <sheetView workbookViewId="0">
      <selection activeCell="E2" sqref="E2"/>
    </sheetView>
  </sheetViews>
  <sheetFormatPr defaultRowHeight="14.25" x14ac:dyDescent="0.45"/>
  <cols>
    <col min="1" max="1" width="14.265625" bestFit="1" customWidth="1"/>
    <col min="2" max="2" width="6.73046875" bestFit="1" customWidth="1"/>
    <col min="3" max="3" width="6.06640625" bestFit="1" customWidth="1"/>
    <col min="4" max="4" width="11.73046875" bestFit="1" customWidth="1"/>
  </cols>
  <sheetData>
    <row r="1" spans="1:4" x14ac:dyDescent="0.45">
      <c r="A1" t="s">
        <v>0</v>
      </c>
      <c r="B1" t="s">
        <v>21</v>
      </c>
      <c r="C1" t="s">
        <v>22</v>
      </c>
      <c r="D1" t="s">
        <v>6</v>
      </c>
    </row>
    <row r="2" spans="1:4" x14ac:dyDescent="0.45">
      <c r="A2" t="s">
        <v>9</v>
      </c>
      <c r="B2">
        <v>41847</v>
      </c>
      <c r="C2">
        <v>11.43</v>
      </c>
      <c r="D2">
        <v>5372191991</v>
      </c>
    </row>
    <row r="3" spans="1:4" x14ac:dyDescent="0.45">
      <c r="A3" t="s">
        <v>18</v>
      </c>
      <c r="B3">
        <v>32073</v>
      </c>
      <c r="C3">
        <v>10.63</v>
      </c>
      <c r="D3">
        <v>4089058177</v>
      </c>
    </row>
    <row r="4" spans="1:4" x14ac:dyDescent="0.45">
      <c r="A4" t="s">
        <v>19</v>
      </c>
      <c r="B4">
        <v>130223</v>
      </c>
      <c r="C4">
        <v>12.47</v>
      </c>
      <c r="D4">
        <v>16595282811</v>
      </c>
    </row>
    <row r="5" spans="1:4" x14ac:dyDescent="0.45">
      <c r="A5" t="s">
        <v>20</v>
      </c>
      <c r="B5">
        <v>51204</v>
      </c>
      <c r="C5">
        <v>10.18</v>
      </c>
      <c r="D5">
        <v>6520347593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532D-D391-4CF0-B4E7-286E095FFF25}">
  <dimension ref="A1:J72"/>
  <sheetViews>
    <sheetView tabSelected="1" topLeftCell="A52" workbookViewId="0">
      <selection activeCell="J6" sqref="J6"/>
    </sheetView>
  </sheetViews>
  <sheetFormatPr defaultRowHeight="14.25" x14ac:dyDescent="0.45"/>
  <cols>
    <col min="1" max="1" width="22.46484375" bestFit="1" customWidth="1"/>
    <col min="2" max="2" width="14.46484375" bestFit="1" customWidth="1"/>
    <col min="3" max="3" width="47.1328125" bestFit="1" customWidth="1"/>
    <col min="4" max="4" width="6.796875" bestFit="1" customWidth="1"/>
    <col min="5" max="5" width="6.73046875" bestFit="1" customWidth="1"/>
    <col min="6" max="6" width="10.73046875" bestFit="1" customWidth="1"/>
    <col min="7" max="7" width="15.86328125" bestFit="1" customWidth="1"/>
    <col min="8" max="8" width="16.9296875" bestFit="1" customWidth="1"/>
  </cols>
  <sheetData>
    <row r="1" spans="1:10" x14ac:dyDescent="0.45">
      <c r="A1" t="s">
        <v>23</v>
      </c>
      <c r="B1">
        <v>0.45</v>
      </c>
      <c r="C1" t="s">
        <v>24</v>
      </c>
    </row>
    <row r="3" spans="1:10" x14ac:dyDescent="0.45">
      <c r="A3" t="s">
        <v>25</v>
      </c>
      <c r="B3" t="s">
        <v>1</v>
      </c>
      <c r="C3" t="s">
        <v>2</v>
      </c>
      <c r="D3" t="s">
        <v>3</v>
      </c>
      <c r="E3" t="s">
        <v>26</v>
      </c>
      <c r="F3" t="s">
        <v>6</v>
      </c>
      <c r="G3" t="s">
        <v>27</v>
      </c>
      <c r="H3" t="s">
        <v>28</v>
      </c>
    </row>
    <row r="4" spans="1:10" x14ac:dyDescent="0.45">
      <c r="A4" t="s">
        <v>9</v>
      </c>
      <c r="B4" t="s">
        <v>10</v>
      </c>
      <c r="C4" t="s">
        <v>11</v>
      </c>
      <c r="D4">
        <v>2359</v>
      </c>
      <c r="E4">
        <v>0.10299999999999999</v>
      </c>
      <c r="F4">
        <v>303990864</v>
      </c>
      <c r="G4">
        <v>14091310.289999999</v>
      </c>
      <c r="H4">
        <f>E4*$B$1*F4</f>
        <v>14089976.546399999</v>
      </c>
    </row>
    <row r="5" spans="1:10" x14ac:dyDescent="0.45">
      <c r="A5" t="s">
        <v>9</v>
      </c>
      <c r="B5" t="s">
        <v>10</v>
      </c>
      <c r="C5" t="s">
        <v>12</v>
      </c>
      <c r="D5">
        <v>1522</v>
      </c>
      <c r="E5">
        <v>9.4E-2</v>
      </c>
      <c r="F5">
        <v>194799838</v>
      </c>
      <c r="G5">
        <v>8236116.6699999999</v>
      </c>
      <c r="H5">
        <f t="shared" ref="H5:H67" si="0">E5*$B$1*F5</f>
        <v>8240033.1474000011</v>
      </c>
    </row>
    <row r="6" spans="1:10" x14ac:dyDescent="0.45">
      <c r="A6" t="s">
        <v>9</v>
      </c>
      <c r="B6" t="s">
        <v>10</v>
      </c>
      <c r="C6" t="s">
        <v>13</v>
      </c>
      <c r="D6">
        <v>2419</v>
      </c>
      <c r="E6">
        <v>9.2999999999999999E-2</v>
      </c>
      <c r="F6">
        <v>311107904</v>
      </c>
      <c r="G6">
        <v>13021775.640000001</v>
      </c>
      <c r="H6">
        <f t="shared" si="0"/>
        <v>13019865.782399999</v>
      </c>
      <c r="J6">
        <f>H68-1702393244.57</f>
        <v>711184.78478503227</v>
      </c>
    </row>
    <row r="7" spans="1:10" x14ac:dyDescent="0.45">
      <c r="A7" t="s">
        <v>9</v>
      </c>
      <c r="B7" t="s">
        <v>10</v>
      </c>
      <c r="C7" t="s">
        <v>14</v>
      </c>
      <c r="D7">
        <v>6344</v>
      </c>
      <c r="E7">
        <v>0.1086</v>
      </c>
      <c r="F7">
        <v>824138715</v>
      </c>
      <c r="G7">
        <v>40278090.890000001</v>
      </c>
      <c r="H7">
        <f t="shared" si="0"/>
        <v>40275659.002050005</v>
      </c>
    </row>
    <row r="8" spans="1:10" x14ac:dyDescent="0.45">
      <c r="A8" t="s">
        <v>9</v>
      </c>
      <c r="B8" t="s">
        <v>15</v>
      </c>
      <c r="C8" t="s">
        <v>11</v>
      </c>
      <c r="D8">
        <v>844</v>
      </c>
      <c r="E8">
        <v>0.23699999999999999</v>
      </c>
      <c r="F8">
        <v>107408366</v>
      </c>
      <c r="G8">
        <v>11453498.74</v>
      </c>
      <c r="H8">
        <f t="shared" si="0"/>
        <v>11455102.233899999</v>
      </c>
    </row>
    <row r="9" spans="1:10" x14ac:dyDescent="0.45">
      <c r="A9" t="s">
        <v>9</v>
      </c>
      <c r="B9" t="s">
        <v>15</v>
      </c>
      <c r="C9" t="s">
        <v>12</v>
      </c>
      <c r="D9">
        <v>524</v>
      </c>
      <c r="E9">
        <v>0.2195</v>
      </c>
      <c r="F9">
        <v>68967166</v>
      </c>
      <c r="G9">
        <v>6811165.7300000004</v>
      </c>
      <c r="H9">
        <f t="shared" si="0"/>
        <v>6812231.8216500003</v>
      </c>
    </row>
    <row r="10" spans="1:10" x14ac:dyDescent="0.45">
      <c r="A10" t="s">
        <v>9</v>
      </c>
      <c r="B10" t="s">
        <v>15</v>
      </c>
      <c r="C10" t="s">
        <v>13</v>
      </c>
      <c r="D10">
        <v>850</v>
      </c>
      <c r="E10">
        <v>0.2024</v>
      </c>
      <c r="F10">
        <v>111086352</v>
      </c>
      <c r="G10">
        <v>10115392.52</v>
      </c>
      <c r="H10">
        <f t="shared" si="0"/>
        <v>10117744.940159999</v>
      </c>
    </row>
    <row r="11" spans="1:10" x14ac:dyDescent="0.45">
      <c r="A11" t="s">
        <v>9</v>
      </c>
      <c r="B11" t="s">
        <v>15</v>
      </c>
      <c r="C11" t="s">
        <v>14</v>
      </c>
      <c r="D11">
        <v>2321</v>
      </c>
      <c r="E11">
        <v>0.2266</v>
      </c>
      <c r="F11">
        <v>298185399</v>
      </c>
      <c r="G11">
        <v>30409514.84</v>
      </c>
      <c r="H11">
        <f t="shared" si="0"/>
        <v>30405965.13603</v>
      </c>
    </row>
    <row r="12" spans="1:10" x14ac:dyDescent="0.45">
      <c r="A12" t="s">
        <v>9</v>
      </c>
      <c r="B12" t="s">
        <v>16</v>
      </c>
      <c r="C12" t="s">
        <v>11</v>
      </c>
      <c r="D12">
        <v>1840</v>
      </c>
      <c r="E12">
        <v>0.12989999999999999</v>
      </c>
      <c r="F12">
        <v>236298430</v>
      </c>
      <c r="G12">
        <v>13811900.08</v>
      </c>
      <c r="H12">
        <f t="shared" si="0"/>
        <v>13812824.725649998</v>
      </c>
    </row>
    <row r="13" spans="1:10" x14ac:dyDescent="0.45">
      <c r="A13" t="s">
        <v>9</v>
      </c>
      <c r="B13" t="s">
        <v>16</v>
      </c>
      <c r="C13" t="s">
        <v>12</v>
      </c>
      <c r="D13">
        <v>1154</v>
      </c>
      <c r="E13">
        <v>0.11700000000000001</v>
      </c>
      <c r="F13">
        <v>145538508</v>
      </c>
      <c r="G13">
        <v>7661580.9000000004</v>
      </c>
      <c r="H13">
        <f t="shared" si="0"/>
        <v>7662602.4462000001</v>
      </c>
    </row>
    <row r="14" spans="1:10" x14ac:dyDescent="0.45">
      <c r="A14" t="s">
        <v>9</v>
      </c>
      <c r="B14" t="s">
        <v>16</v>
      </c>
      <c r="C14" t="s">
        <v>13</v>
      </c>
      <c r="D14">
        <v>1786</v>
      </c>
      <c r="E14">
        <v>0.1109</v>
      </c>
      <c r="F14">
        <v>232088708</v>
      </c>
      <c r="G14">
        <v>11578445.619999999</v>
      </c>
      <c r="H14">
        <f t="shared" si="0"/>
        <v>11582386.97274</v>
      </c>
    </row>
    <row r="15" spans="1:10" x14ac:dyDescent="0.45">
      <c r="A15" t="s">
        <v>9</v>
      </c>
      <c r="B15" t="s">
        <v>16</v>
      </c>
      <c r="C15" t="s">
        <v>14</v>
      </c>
      <c r="D15">
        <v>4588</v>
      </c>
      <c r="E15">
        <v>0.1338</v>
      </c>
      <c r="F15">
        <v>590921761</v>
      </c>
      <c r="G15">
        <v>35586678.850000001</v>
      </c>
      <c r="H15">
        <f t="shared" si="0"/>
        <v>35579399.229809999</v>
      </c>
    </row>
    <row r="16" spans="1:10" x14ac:dyDescent="0.45">
      <c r="A16" t="s">
        <v>9</v>
      </c>
      <c r="B16" t="s">
        <v>17</v>
      </c>
      <c r="C16" t="s">
        <v>11</v>
      </c>
      <c r="D16">
        <v>2857</v>
      </c>
      <c r="E16">
        <v>7.7399999999999997E-2</v>
      </c>
      <c r="F16">
        <v>365189289</v>
      </c>
      <c r="G16">
        <v>12711961.77</v>
      </c>
      <c r="H16">
        <f t="shared" si="0"/>
        <v>12719542.935869999</v>
      </c>
    </row>
    <row r="17" spans="1:8" x14ac:dyDescent="0.45">
      <c r="A17" t="s">
        <v>9</v>
      </c>
      <c r="B17" t="s">
        <v>17</v>
      </c>
      <c r="C17" t="s">
        <v>12</v>
      </c>
      <c r="D17">
        <v>1806</v>
      </c>
      <c r="E17">
        <v>7.3599999999999999E-2</v>
      </c>
      <c r="F17">
        <v>231105154</v>
      </c>
      <c r="G17">
        <v>7658717.3099999996</v>
      </c>
      <c r="H17">
        <f t="shared" si="0"/>
        <v>7654202.700480001</v>
      </c>
    </row>
    <row r="18" spans="1:8" x14ac:dyDescent="0.45">
      <c r="A18" t="s">
        <v>9</v>
      </c>
      <c r="B18" t="s">
        <v>17</v>
      </c>
      <c r="C18" t="s">
        <v>13</v>
      </c>
      <c r="D18">
        <v>2860</v>
      </c>
      <c r="E18">
        <v>8.6699999999999999E-2</v>
      </c>
      <c r="F18">
        <v>362067943</v>
      </c>
      <c r="G18">
        <v>14128245.609999999</v>
      </c>
      <c r="H18">
        <f t="shared" si="0"/>
        <v>14126080.796145</v>
      </c>
    </row>
    <row r="19" spans="1:8" x14ac:dyDescent="0.45">
      <c r="A19" t="s">
        <v>9</v>
      </c>
      <c r="B19" t="s">
        <v>17</v>
      </c>
      <c r="C19" t="s">
        <v>14</v>
      </c>
      <c r="D19">
        <v>7773</v>
      </c>
      <c r="E19">
        <v>8.7900000000000006E-2</v>
      </c>
      <c r="F19">
        <v>989297594</v>
      </c>
      <c r="G19">
        <v>39117537.049999997</v>
      </c>
      <c r="H19">
        <f t="shared" si="0"/>
        <v>39131666.330670007</v>
      </c>
    </row>
    <row r="20" spans="1:8" x14ac:dyDescent="0.45">
      <c r="A20" t="s">
        <v>18</v>
      </c>
      <c r="B20" t="s">
        <v>10</v>
      </c>
      <c r="C20" t="s">
        <v>11</v>
      </c>
      <c r="D20">
        <v>1812</v>
      </c>
      <c r="E20">
        <v>9.0499999999999997E-2</v>
      </c>
      <c r="F20">
        <v>234330966</v>
      </c>
      <c r="G20">
        <v>9543943.3200000003</v>
      </c>
      <c r="H20">
        <f t="shared" si="0"/>
        <v>9543128.5903500002</v>
      </c>
    </row>
    <row r="21" spans="1:8" x14ac:dyDescent="0.45">
      <c r="A21" t="s">
        <v>18</v>
      </c>
      <c r="B21" t="s">
        <v>10</v>
      </c>
      <c r="C21" t="s">
        <v>12</v>
      </c>
      <c r="D21">
        <v>1165</v>
      </c>
      <c r="E21">
        <v>9.01E-2</v>
      </c>
      <c r="F21">
        <v>149142634</v>
      </c>
      <c r="G21">
        <v>6048917.9900000002</v>
      </c>
      <c r="H21">
        <f t="shared" si="0"/>
        <v>6046988.0955299996</v>
      </c>
    </row>
    <row r="22" spans="1:8" x14ac:dyDescent="0.45">
      <c r="A22" t="s">
        <v>18</v>
      </c>
      <c r="B22" t="s">
        <v>10</v>
      </c>
      <c r="C22" t="s">
        <v>13</v>
      </c>
      <c r="D22">
        <v>1771</v>
      </c>
      <c r="E22">
        <v>8.5300000000000001E-2</v>
      </c>
      <c r="F22">
        <v>227547793</v>
      </c>
      <c r="G22">
        <v>8730588.6699999999</v>
      </c>
      <c r="H22">
        <f t="shared" si="0"/>
        <v>8734422.0343050007</v>
      </c>
    </row>
    <row r="23" spans="1:8" x14ac:dyDescent="0.45">
      <c r="A23" t="s">
        <v>18</v>
      </c>
      <c r="B23" t="s">
        <v>10</v>
      </c>
      <c r="C23" t="s">
        <v>14</v>
      </c>
      <c r="D23">
        <v>4766</v>
      </c>
      <c r="E23">
        <v>9.5500000000000002E-2</v>
      </c>
      <c r="F23">
        <v>605531203</v>
      </c>
      <c r="G23">
        <v>26013955.899999999</v>
      </c>
      <c r="H23">
        <f t="shared" si="0"/>
        <v>26022703.448925</v>
      </c>
    </row>
    <row r="24" spans="1:8" x14ac:dyDescent="0.45">
      <c r="A24" t="s">
        <v>18</v>
      </c>
      <c r="B24" t="s">
        <v>15</v>
      </c>
      <c r="C24" t="s">
        <v>11</v>
      </c>
      <c r="D24">
        <v>653</v>
      </c>
      <c r="E24">
        <v>0.18990000000000001</v>
      </c>
      <c r="F24">
        <v>80628206</v>
      </c>
      <c r="G24">
        <v>6889822.2000000002</v>
      </c>
      <c r="H24">
        <f t="shared" si="0"/>
        <v>6890083.3437299998</v>
      </c>
    </row>
    <row r="25" spans="1:8" x14ac:dyDescent="0.45">
      <c r="A25" t="s">
        <v>18</v>
      </c>
      <c r="B25" t="s">
        <v>15</v>
      </c>
      <c r="C25" t="s">
        <v>12</v>
      </c>
      <c r="D25">
        <v>427</v>
      </c>
      <c r="E25">
        <v>0.1827</v>
      </c>
      <c r="F25">
        <v>52392625</v>
      </c>
      <c r="G25">
        <v>4306747.3899999997</v>
      </c>
      <c r="H25">
        <f t="shared" si="0"/>
        <v>4307459.6643749997</v>
      </c>
    </row>
    <row r="26" spans="1:8" x14ac:dyDescent="0.45">
      <c r="A26" t="s">
        <v>18</v>
      </c>
      <c r="B26" t="s">
        <v>15</v>
      </c>
      <c r="C26" t="s">
        <v>13</v>
      </c>
      <c r="D26">
        <v>673</v>
      </c>
      <c r="E26">
        <v>0.2036</v>
      </c>
      <c r="F26">
        <v>86753750</v>
      </c>
      <c r="G26">
        <v>7947056</v>
      </c>
      <c r="H26">
        <f t="shared" si="0"/>
        <v>7948378.5750000002</v>
      </c>
    </row>
    <row r="27" spans="1:8" x14ac:dyDescent="0.45">
      <c r="A27" t="s">
        <v>18</v>
      </c>
      <c r="B27" t="s">
        <v>15</v>
      </c>
      <c r="C27" t="s">
        <v>14</v>
      </c>
      <c r="D27">
        <v>1845</v>
      </c>
      <c r="E27">
        <v>0.2266</v>
      </c>
      <c r="F27">
        <v>235340122</v>
      </c>
      <c r="G27">
        <v>23993212.440000001</v>
      </c>
      <c r="H27">
        <f t="shared" si="0"/>
        <v>23997632.240340002</v>
      </c>
    </row>
    <row r="28" spans="1:8" x14ac:dyDescent="0.45">
      <c r="A28" t="s">
        <v>18</v>
      </c>
      <c r="B28" t="s">
        <v>16</v>
      </c>
      <c r="C28" t="s">
        <v>11</v>
      </c>
      <c r="D28">
        <v>1295</v>
      </c>
      <c r="E28">
        <v>0.1135</v>
      </c>
      <c r="F28">
        <v>163208745</v>
      </c>
      <c r="G28">
        <v>8336879.1399999997</v>
      </c>
      <c r="H28">
        <f t="shared" si="0"/>
        <v>8335886.6508750003</v>
      </c>
    </row>
    <row r="29" spans="1:8" x14ac:dyDescent="0.45">
      <c r="A29" t="s">
        <v>18</v>
      </c>
      <c r="B29" t="s">
        <v>16</v>
      </c>
      <c r="C29" t="s">
        <v>12</v>
      </c>
      <c r="D29">
        <v>873</v>
      </c>
      <c r="E29">
        <v>0.1134</v>
      </c>
      <c r="F29">
        <v>111064135</v>
      </c>
      <c r="G29">
        <v>5667705.8600000003</v>
      </c>
      <c r="H29">
        <f t="shared" si="0"/>
        <v>5667602.8090500003</v>
      </c>
    </row>
    <row r="30" spans="1:8" x14ac:dyDescent="0.45">
      <c r="A30" t="s">
        <v>18</v>
      </c>
      <c r="B30" t="s">
        <v>16</v>
      </c>
      <c r="C30" t="s">
        <v>13</v>
      </c>
      <c r="D30">
        <v>1308</v>
      </c>
      <c r="E30">
        <v>0.107</v>
      </c>
      <c r="F30">
        <v>164317730</v>
      </c>
      <c r="G30">
        <v>7914386.0800000001</v>
      </c>
      <c r="H30">
        <f t="shared" si="0"/>
        <v>7911898.6995000001</v>
      </c>
    </row>
    <row r="31" spans="1:8" x14ac:dyDescent="0.45">
      <c r="A31" t="s">
        <v>18</v>
      </c>
      <c r="B31" t="s">
        <v>16</v>
      </c>
      <c r="C31" t="s">
        <v>14</v>
      </c>
      <c r="D31">
        <v>3637</v>
      </c>
      <c r="E31">
        <v>0.1188</v>
      </c>
      <c r="F31">
        <v>461534793</v>
      </c>
      <c r="G31">
        <v>24669332.899999999</v>
      </c>
      <c r="H31">
        <f t="shared" si="0"/>
        <v>24673650.033780001</v>
      </c>
    </row>
    <row r="32" spans="1:8" x14ac:dyDescent="0.45">
      <c r="A32" t="s">
        <v>18</v>
      </c>
      <c r="B32" t="s">
        <v>17</v>
      </c>
      <c r="C32" t="s">
        <v>11</v>
      </c>
      <c r="D32">
        <v>2196</v>
      </c>
      <c r="E32">
        <v>6.9699999999999998E-2</v>
      </c>
      <c r="F32">
        <v>277033301</v>
      </c>
      <c r="G32">
        <v>8685675.2200000007</v>
      </c>
      <c r="H32">
        <f t="shared" si="0"/>
        <v>8689149.4858649988</v>
      </c>
    </row>
    <row r="33" spans="1:8" x14ac:dyDescent="0.45">
      <c r="A33" t="s">
        <v>18</v>
      </c>
      <c r="B33" t="s">
        <v>17</v>
      </c>
      <c r="C33" t="s">
        <v>12</v>
      </c>
      <c r="D33">
        <v>1455</v>
      </c>
      <c r="E33">
        <v>6.9400000000000003E-2</v>
      </c>
      <c r="F33">
        <v>186698460</v>
      </c>
      <c r="G33">
        <v>5831920.9699999997</v>
      </c>
      <c r="H33">
        <f t="shared" si="0"/>
        <v>5830592.9057999998</v>
      </c>
    </row>
    <row r="34" spans="1:8" x14ac:dyDescent="0.45">
      <c r="A34" t="s">
        <v>18</v>
      </c>
      <c r="B34" t="s">
        <v>17</v>
      </c>
      <c r="C34" t="s">
        <v>13</v>
      </c>
      <c r="D34">
        <v>2192</v>
      </c>
      <c r="E34">
        <v>7.1599999999999997E-2</v>
      </c>
      <c r="F34">
        <v>280185658</v>
      </c>
      <c r="G34">
        <v>9030618.9499999993</v>
      </c>
      <c r="H34">
        <f t="shared" si="0"/>
        <v>9027581.9007599987</v>
      </c>
    </row>
    <row r="35" spans="1:8" x14ac:dyDescent="0.45">
      <c r="A35" t="s">
        <v>18</v>
      </c>
      <c r="B35" t="s">
        <v>17</v>
      </c>
      <c r="C35" t="s">
        <v>14</v>
      </c>
      <c r="D35">
        <v>6005</v>
      </c>
      <c r="E35">
        <v>9.1300000000000006E-2</v>
      </c>
      <c r="F35">
        <v>773348056</v>
      </c>
      <c r="G35">
        <v>31758139.98</v>
      </c>
      <c r="H35">
        <f t="shared" si="0"/>
        <v>31773004.880760003</v>
      </c>
    </row>
    <row r="36" spans="1:8" x14ac:dyDescent="0.45">
      <c r="A36" t="s">
        <v>19</v>
      </c>
      <c r="B36" t="s">
        <v>10</v>
      </c>
      <c r="C36" t="s">
        <v>11</v>
      </c>
      <c r="D36">
        <v>7215</v>
      </c>
      <c r="E36">
        <v>0.1071</v>
      </c>
      <c r="F36">
        <v>912123163</v>
      </c>
      <c r="G36">
        <v>43975335.030000001</v>
      </c>
      <c r="H36">
        <f t="shared" si="0"/>
        <v>43959775.840785004</v>
      </c>
    </row>
    <row r="37" spans="1:8" x14ac:dyDescent="0.45">
      <c r="A37" t="s">
        <v>19</v>
      </c>
      <c r="B37" t="s">
        <v>10</v>
      </c>
      <c r="C37" t="s">
        <v>12</v>
      </c>
      <c r="D37">
        <v>4510</v>
      </c>
      <c r="E37">
        <v>0.1007</v>
      </c>
      <c r="F37">
        <v>575748210</v>
      </c>
      <c r="G37">
        <v>26081010.93</v>
      </c>
      <c r="H37">
        <f t="shared" si="0"/>
        <v>26090030.136150002</v>
      </c>
    </row>
    <row r="38" spans="1:8" x14ac:dyDescent="0.45">
      <c r="A38" t="s">
        <v>19</v>
      </c>
      <c r="B38" t="s">
        <v>10</v>
      </c>
      <c r="C38" t="s">
        <v>13</v>
      </c>
      <c r="D38">
        <v>7033</v>
      </c>
      <c r="E38">
        <v>9.6799999999999997E-2</v>
      </c>
      <c r="F38">
        <v>900669794</v>
      </c>
      <c r="G38">
        <v>39245024.649999999</v>
      </c>
      <c r="H38">
        <f t="shared" si="0"/>
        <v>39233176.226640001</v>
      </c>
    </row>
    <row r="39" spans="1:8" x14ac:dyDescent="0.45">
      <c r="A39" t="s">
        <v>19</v>
      </c>
      <c r="B39" t="s">
        <v>10</v>
      </c>
      <c r="C39" t="s">
        <v>14</v>
      </c>
      <c r="D39">
        <v>19589</v>
      </c>
      <c r="E39">
        <v>0.11070000000000001</v>
      </c>
      <c r="F39">
        <v>2492395618</v>
      </c>
      <c r="G39">
        <v>124129928.27</v>
      </c>
      <c r="H39">
        <f t="shared" si="0"/>
        <v>124158687.71067001</v>
      </c>
    </row>
    <row r="40" spans="1:8" x14ac:dyDescent="0.45">
      <c r="A40" t="s">
        <v>19</v>
      </c>
      <c r="B40" t="s">
        <v>15</v>
      </c>
      <c r="C40" t="s">
        <v>11</v>
      </c>
      <c r="D40">
        <v>2740</v>
      </c>
      <c r="E40">
        <v>0.23100000000000001</v>
      </c>
      <c r="F40">
        <v>355011905</v>
      </c>
      <c r="G40">
        <v>36906985.82</v>
      </c>
      <c r="H40">
        <f t="shared" si="0"/>
        <v>36903487.524750002</v>
      </c>
    </row>
    <row r="41" spans="1:8" x14ac:dyDescent="0.45">
      <c r="A41" t="s">
        <v>19</v>
      </c>
      <c r="B41" t="s">
        <v>15</v>
      </c>
      <c r="C41" t="s">
        <v>12</v>
      </c>
      <c r="D41">
        <v>1633</v>
      </c>
      <c r="E41">
        <v>0.2009</v>
      </c>
      <c r="F41">
        <v>207880006</v>
      </c>
      <c r="G41">
        <v>18789399.199999999</v>
      </c>
      <c r="H41">
        <f t="shared" si="0"/>
        <v>18793391.942430001</v>
      </c>
    </row>
    <row r="42" spans="1:8" x14ac:dyDescent="0.45">
      <c r="A42" t="s">
        <v>19</v>
      </c>
      <c r="B42" t="s">
        <v>15</v>
      </c>
      <c r="C42" t="s">
        <v>13</v>
      </c>
      <c r="D42">
        <v>2739</v>
      </c>
      <c r="E42">
        <v>0.2293</v>
      </c>
      <c r="F42">
        <v>350697359</v>
      </c>
      <c r="G42">
        <v>36183670.560000002</v>
      </c>
      <c r="H42">
        <f t="shared" si="0"/>
        <v>36186706.988415003</v>
      </c>
    </row>
    <row r="43" spans="1:8" x14ac:dyDescent="0.45">
      <c r="A43" t="s">
        <v>19</v>
      </c>
      <c r="B43" t="s">
        <v>15</v>
      </c>
      <c r="C43" t="s">
        <v>14</v>
      </c>
      <c r="D43">
        <v>7417</v>
      </c>
      <c r="E43">
        <v>0.2339</v>
      </c>
      <c r="F43">
        <v>950832813</v>
      </c>
      <c r="G43">
        <v>100089351.31999999</v>
      </c>
      <c r="H43">
        <f t="shared" si="0"/>
        <v>100079907.732315</v>
      </c>
    </row>
    <row r="44" spans="1:8" x14ac:dyDescent="0.45">
      <c r="A44" t="s">
        <v>19</v>
      </c>
      <c r="B44" t="s">
        <v>16</v>
      </c>
      <c r="C44" t="s">
        <v>11</v>
      </c>
      <c r="D44">
        <v>5319</v>
      </c>
      <c r="E44">
        <v>0.14230000000000001</v>
      </c>
      <c r="F44">
        <v>686576341</v>
      </c>
      <c r="G44">
        <v>43971090.539999999</v>
      </c>
      <c r="H44">
        <f t="shared" si="0"/>
        <v>43964915.995935008</v>
      </c>
    </row>
    <row r="45" spans="1:8" x14ac:dyDescent="0.45">
      <c r="A45" t="s">
        <v>19</v>
      </c>
      <c r="B45" t="s">
        <v>16</v>
      </c>
      <c r="C45" t="s">
        <v>12</v>
      </c>
      <c r="D45">
        <v>3410</v>
      </c>
      <c r="E45">
        <v>0.1164</v>
      </c>
      <c r="F45">
        <v>426557182</v>
      </c>
      <c r="G45">
        <v>22347343.27</v>
      </c>
      <c r="H45">
        <f t="shared" si="0"/>
        <v>22343065.193160001</v>
      </c>
    </row>
    <row r="46" spans="1:8" x14ac:dyDescent="0.45">
      <c r="A46" t="s">
        <v>19</v>
      </c>
      <c r="B46" t="s">
        <v>16</v>
      </c>
      <c r="C46" t="s">
        <v>13</v>
      </c>
      <c r="D46">
        <v>5458</v>
      </c>
      <c r="E46">
        <v>0.13589999999999999</v>
      </c>
      <c r="F46">
        <v>690772621</v>
      </c>
      <c r="G46">
        <v>42258882.039999999</v>
      </c>
      <c r="H46">
        <f t="shared" si="0"/>
        <v>42244199.637254998</v>
      </c>
    </row>
    <row r="47" spans="1:8" x14ac:dyDescent="0.45">
      <c r="A47" t="s">
        <v>19</v>
      </c>
      <c r="B47" t="s">
        <v>16</v>
      </c>
      <c r="C47" t="s">
        <v>14</v>
      </c>
      <c r="D47">
        <v>14636</v>
      </c>
      <c r="E47">
        <v>0.14069999999999999</v>
      </c>
      <c r="F47">
        <v>1864168893</v>
      </c>
      <c r="G47">
        <v>118013506.95999999</v>
      </c>
      <c r="H47">
        <f t="shared" si="0"/>
        <v>118029853.46029499</v>
      </c>
    </row>
    <row r="48" spans="1:8" x14ac:dyDescent="0.45">
      <c r="A48" t="s">
        <v>19</v>
      </c>
      <c r="B48" t="s">
        <v>17</v>
      </c>
      <c r="C48" t="s">
        <v>11</v>
      </c>
      <c r="D48">
        <v>9123</v>
      </c>
      <c r="E48">
        <v>9.7199999999999995E-2</v>
      </c>
      <c r="F48">
        <v>1164507652</v>
      </c>
      <c r="G48">
        <v>50949603.119999997</v>
      </c>
      <c r="H48">
        <f t="shared" si="0"/>
        <v>50935564.698480003</v>
      </c>
    </row>
    <row r="49" spans="1:8" x14ac:dyDescent="0.45">
      <c r="A49" t="s">
        <v>19</v>
      </c>
      <c r="B49" t="s">
        <v>17</v>
      </c>
      <c r="C49" t="s">
        <v>12</v>
      </c>
      <c r="D49">
        <v>5779</v>
      </c>
      <c r="E49">
        <v>9.2200000000000004E-2</v>
      </c>
      <c r="F49">
        <v>735780376</v>
      </c>
      <c r="G49">
        <v>30537622.98</v>
      </c>
      <c r="H49">
        <f t="shared" si="0"/>
        <v>30527527.800240006</v>
      </c>
    </row>
    <row r="50" spans="1:8" x14ac:dyDescent="0.45">
      <c r="A50" t="s">
        <v>19</v>
      </c>
      <c r="B50" t="s">
        <v>17</v>
      </c>
      <c r="C50" t="s">
        <v>13</v>
      </c>
      <c r="D50">
        <v>9104</v>
      </c>
      <c r="E50">
        <v>9.8199999999999996E-2</v>
      </c>
      <c r="F50">
        <v>1157911597</v>
      </c>
      <c r="G50">
        <v>51167380.869999997</v>
      </c>
      <c r="H50">
        <f t="shared" si="0"/>
        <v>51168113.471430004</v>
      </c>
    </row>
    <row r="51" spans="1:8" x14ac:dyDescent="0.45">
      <c r="A51" t="s">
        <v>19</v>
      </c>
      <c r="B51" t="s">
        <v>17</v>
      </c>
      <c r="C51" t="s">
        <v>14</v>
      </c>
      <c r="D51">
        <v>24518</v>
      </c>
      <c r="E51">
        <v>0.1051</v>
      </c>
      <c r="F51">
        <v>3123649281</v>
      </c>
      <c r="G51">
        <v>147684731.47999999</v>
      </c>
      <c r="H51">
        <f t="shared" si="0"/>
        <v>147732992.74489501</v>
      </c>
    </row>
    <row r="52" spans="1:8" x14ac:dyDescent="0.45">
      <c r="A52" t="s">
        <v>20</v>
      </c>
      <c r="B52" t="s">
        <v>10</v>
      </c>
      <c r="C52" t="s">
        <v>11</v>
      </c>
      <c r="D52">
        <v>2889</v>
      </c>
      <c r="E52">
        <v>8.3400000000000002E-2</v>
      </c>
      <c r="F52">
        <v>365868751</v>
      </c>
      <c r="G52">
        <v>13734325.390000001</v>
      </c>
      <c r="H52">
        <f t="shared" si="0"/>
        <v>13731054.225029999</v>
      </c>
    </row>
    <row r="53" spans="1:8" x14ac:dyDescent="0.45">
      <c r="A53" t="s">
        <v>20</v>
      </c>
      <c r="B53" t="s">
        <v>10</v>
      </c>
      <c r="C53" t="s">
        <v>12</v>
      </c>
      <c r="D53">
        <v>1776</v>
      </c>
      <c r="E53">
        <v>8.1600000000000006E-2</v>
      </c>
      <c r="F53">
        <v>225935253</v>
      </c>
      <c r="G53">
        <v>8300830.6600000001</v>
      </c>
      <c r="H53">
        <f t="shared" si="0"/>
        <v>8296342.4901600005</v>
      </c>
    </row>
    <row r="54" spans="1:8" x14ac:dyDescent="0.45">
      <c r="A54" t="s">
        <v>20</v>
      </c>
      <c r="B54" t="s">
        <v>10</v>
      </c>
      <c r="C54" t="s">
        <v>13</v>
      </c>
      <c r="D54">
        <v>2895</v>
      </c>
      <c r="E54">
        <v>7.4300000000000005E-2</v>
      </c>
      <c r="F54">
        <v>367542904</v>
      </c>
      <c r="G54">
        <v>12283169.59</v>
      </c>
      <c r="H54">
        <f t="shared" si="0"/>
        <v>12288796.995240003</v>
      </c>
    </row>
    <row r="55" spans="1:8" x14ac:dyDescent="0.45">
      <c r="A55" t="s">
        <v>20</v>
      </c>
      <c r="B55" t="s">
        <v>10</v>
      </c>
      <c r="C55" t="s">
        <v>14</v>
      </c>
      <c r="D55">
        <v>7661</v>
      </c>
      <c r="E55">
        <v>9.3100000000000002E-2</v>
      </c>
      <c r="F55">
        <v>978866094</v>
      </c>
      <c r="G55">
        <v>40995847.310000002</v>
      </c>
      <c r="H55">
        <f t="shared" si="0"/>
        <v>41009595.008129999</v>
      </c>
    </row>
    <row r="56" spans="1:8" x14ac:dyDescent="0.45">
      <c r="A56" t="s">
        <v>20</v>
      </c>
      <c r="B56" t="s">
        <v>15</v>
      </c>
      <c r="C56" t="s">
        <v>11</v>
      </c>
      <c r="D56">
        <v>1057</v>
      </c>
      <c r="E56">
        <v>0.19769999999999999</v>
      </c>
      <c r="F56">
        <v>130368105</v>
      </c>
      <c r="G56">
        <v>11599924.57</v>
      </c>
      <c r="H56">
        <f t="shared" si="0"/>
        <v>11598198.461325001</v>
      </c>
    </row>
    <row r="57" spans="1:8" x14ac:dyDescent="0.45">
      <c r="A57" t="s">
        <v>20</v>
      </c>
      <c r="B57" t="s">
        <v>15</v>
      </c>
      <c r="C57" t="s">
        <v>12</v>
      </c>
      <c r="D57">
        <v>679</v>
      </c>
      <c r="E57">
        <v>0.17080000000000001</v>
      </c>
      <c r="F57">
        <v>85836457</v>
      </c>
      <c r="G57">
        <v>6598914.6600000001</v>
      </c>
      <c r="H57">
        <f t="shared" si="0"/>
        <v>6597390.085020001</v>
      </c>
    </row>
    <row r="58" spans="1:8" x14ac:dyDescent="0.45">
      <c r="A58" t="s">
        <v>20</v>
      </c>
      <c r="B58" t="s">
        <v>15</v>
      </c>
      <c r="C58" t="s">
        <v>13</v>
      </c>
      <c r="D58">
        <v>1084</v>
      </c>
      <c r="E58">
        <v>0.1946</v>
      </c>
      <c r="F58">
        <v>138812306</v>
      </c>
      <c r="G58">
        <v>12158882.34</v>
      </c>
      <c r="H58">
        <f t="shared" si="0"/>
        <v>12155793.636419998</v>
      </c>
    </row>
    <row r="59" spans="1:8" x14ac:dyDescent="0.45">
      <c r="A59" t="s">
        <v>20</v>
      </c>
      <c r="B59" t="s">
        <v>15</v>
      </c>
      <c r="C59" t="s">
        <v>14</v>
      </c>
      <c r="D59">
        <v>2916</v>
      </c>
      <c r="E59">
        <v>0.20780000000000001</v>
      </c>
      <c r="F59">
        <v>372306334</v>
      </c>
      <c r="G59">
        <v>34817536.789999999</v>
      </c>
      <c r="H59">
        <f t="shared" si="0"/>
        <v>34814365.292340003</v>
      </c>
    </row>
    <row r="60" spans="1:8" x14ac:dyDescent="0.45">
      <c r="A60" t="s">
        <v>20</v>
      </c>
      <c r="B60" t="s">
        <v>16</v>
      </c>
      <c r="C60" t="s">
        <v>11</v>
      </c>
      <c r="D60">
        <v>2157</v>
      </c>
      <c r="E60">
        <v>0.1089</v>
      </c>
      <c r="F60">
        <v>279210159</v>
      </c>
      <c r="G60">
        <v>13688676.08</v>
      </c>
      <c r="H60">
        <f t="shared" si="0"/>
        <v>13682693.841794999</v>
      </c>
    </row>
    <row r="61" spans="1:8" x14ac:dyDescent="0.45">
      <c r="A61" t="s">
        <v>20</v>
      </c>
      <c r="B61" t="s">
        <v>16</v>
      </c>
      <c r="C61" t="s">
        <v>12</v>
      </c>
      <c r="D61">
        <v>1333</v>
      </c>
      <c r="E61">
        <v>9.0800000000000006E-2</v>
      </c>
      <c r="F61">
        <v>167541231</v>
      </c>
      <c r="G61">
        <v>6843675.9400000004</v>
      </c>
      <c r="H61">
        <f t="shared" si="0"/>
        <v>6845734.6986600002</v>
      </c>
    </row>
    <row r="62" spans="1:8" x14ac:dyDescent="0.45">
      <c r="A62" t="s">
        <v>20</v>
      </c>
      <c r="B62" t="s">
        <v>16</v>
      </c>
      <c r="C62" t="s">
        <v>13</v>
      </c>
      <c r="D62">
        <v>2130</v>
      </c>
      <c r="E62">
        <v>0.1033</v>
      </c>
      <c r="F62">
        <v>268820591</v>
      </c>
      <c r="G62">
        <v>12494478.17</v>
      </c>
      <c r="H62">
        <f t="shared" si="0"/>
        <v>12496125.172635002</v>
      </c>
    </row>
    <row r="63" spans="1:8" x14ac:dyDescent="0.45">
      <c r="A63" t="s">
        <v>20</v>
      </c>
      <c r="B63" t="s">
        <v>16</v>
      </c>
      <c r="C63" t="s">
        <v>14</v>
      </c>
      <c r="D63">
        <v>5727</v>
      </c>
      <c r="E63">
        <v>0.1235</v>
      </c>
      <c r="F63">
        <v>724195892</v>
      </c>
      <c r="G63">
        <v>40230997.560000002</v>
      </c>
      <c r="H63">
        <f t="shared" si="0"/>
        <v>40247186.697899997</v>
      </c>
    </row>
    <row r="64" spans="1:8" x14ac:dyDescent="0.45">
      <c r="A64" t="s">
        <v>20</v>
      </c>
      <c r="B64" t="s">
        <v>17</v>
      </c>
      <c r="C64" t="s">
        <v>11</v>
      </c>
      <c r="D64">
        <v>3605</v>
      </c>
      <c r="E64">
        <v>7.9899999999999999E-2</v>
      </c>
      <c r="F64">
        <v>462534937</v>
      </c>
      <c r="G64">
        <v>16628163.060000001</v>
      </c>
      <c r="H64">
        <f t="shared" si="0"/>
        <v>16630443.659835</v>
      </c>
    </row>
    <row r="65" spans="1:8" x14ac:dyDescent="0.45">
      <c r="A65" t="s">
        <v>20</v>
      </c>
      <c r="B65" t="s">
        <v>17</v>
      </c>
      <c r="C65" t="s">
        <v>12</v>
      </c>
      <c r="D65">
        <v>2278</v>
      </c>
      <c r="E65">
        <v>6.1499999999999999E-2</v>
      </c>
      <c r="F65">
        <v>289697994</v>
      </c>
      <c r="G65">
        <v>8011840.9199999999</v>
      </c>
      <c r="H65">
        <f t="shared" si="0"/>
        <v>8017391.9839500003</v>
      </c>
    </row>
    <row r="66" spans="1:8" x14ac:dyDescent="0.45">
      <c r="A66" t="s">
        <v>20</v>
      </c>
      <c r="B66" t="s">
        <v>17</v>
      </c>
      <c r="C66" t="s">
        <v>13</v>
      </c>
      <c r="D66">
        <v>3463</v>
      </c>
      <c r="E66">
        <v>8.2000000000000003E-2</v>
      </c>
      <c r="F66">
        <v>439212040</v>
      </c>
      <c r="G66">
        <v>16208864.77</v>
      </c>
      <c r="H66">
        <f t="shared" si="0"/>
        <v>16206924.276000001</v>
      </c>
    </row>
    <row r="67" spans="1:8" x14ac:dyDescent="0.45">
      <c r="A67" t="s">
        <v>20</v>
      </c>
      <c r="B67" t="s">
        <v>17</v>
      </c>
      <c r="C67" t="s">
        <v>14</v>
      </c>
      <c r="D67">
        <v>9554</v>
      </c>
      <c r="E67">
        <v>0.08</v>
      </c>
      <c r="F67">
        <v>1223598545</v>
      </c>
      <c r="G67">
        <v>44031105.270000003</v>
      </c>
      <c r="H67">
        <f t="shared" si="0"/>
        <v>44049547.620000005</v>
      </c>
    </row>
    <row r="68" spans="1:8" x14ac:dyDescent="0.45">
      <c r="G68">
        <f>SUM(G4:G67)</f>
        <v>1702998935.6399996</v>
      </c>
      <c r="H68">
        <f>SUM(H4:H67)</f>
        <v>1703104429.354785</v>
      </c>
    </row>
    <row r="71" spans="1:8" x14ac:dyDescent="0.45">
      <c r="A71" t="s">
        <v>37</v>
      </c>
      <c r="B71">
        <f>SUM(D4:D67)</f>
        <v>255347</v>
      </c>
    </row>
    <row r="72" spans="1:8" x14ac:dyDescent="0.45">
      <c r="A72" t="s">
        <v>38</v>
      </c>
      <c r="B72">
        <f>SUMPRODUCT(D4:D67,E4:E67)/SUM(D4:D67)</f>
        <v>0.11613545136618014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0D36-D591-4E89-851C-7727959B55A8}">
  <dimension ref="A1:C6"/>
  <sheetViews>
    <sheetView workbookViewId="0">
      <selection activeCell="B6" sqref="B6"/>
    </sheetView>
  </sheetViews>
  <sheetFormatPr defaultRowHeight="14.25" x14ac:dyDescent="0.45"/>
  <cols>
    <col min="1" max="1" width="23.46484375" bestFit="1" customWidth="1"/>
    <col min="2" max="2" width="11.1328125" bestFit="1" customWidth="1"/>
    <col min="3" max="3" width="10.73046875" bestFit="1" customWidth="1"/>
  </cols>
  <sheetData>
    <row r="1" spans="1:3" x14ac:dyDescent="0.45">
      <c r="A1" t="s">
        <v>29</v>
      </c>
      <c r="B1" t="s">
        <v>30</v>
      </c>
      <c r="C1" t="s">
        <v>31</v>
      </c>
    </row>
    <row r="2" spans="1:3" x14ac:dyDescent="0.45">
      <c r="A2" t="s">
        <v>32</v>
      </c>
      <c r="B2">
        <v>1</v>
      </c>
      <c r="C2">
        <f>ECL_Model!H68</f>
        <v>1703104429.354785</v>
      </c>
    </row>
    <row r="3" spans="1:3" x14ac:dyDescent="0.45">
      <c r="A3" t="s">
        <v>33</v>
      </c>
      <c r="B3">
        <v>1.3</v>
      </c>
      <c r="C3">
        <f>C2*B3</f>
        <v>2214035758.1612206</v>
      </c>
    </row>
    <row r="4" spans="1:3" x14ac:dyDescent="0.45">
      <c r="A4" t="s">
        <v>34</v>
      </c>
      <c r="B4" t="s">
        <v>35</v>
      </c>
      <c r="C4">
        <f>ECL_Model!H68/0.45*0.6*1.5</f>
        <v>3406208858.7095699</v>
      </c>
    </row>
    <row r="6" spans="1:3" x14ac:dyDescent="0.45">
      <c r="A6" t="s">
        <v>36</v>
      </c>
      <c r="B6">
        <f>C3-C2</f>
        <v>510931328.80643559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risk_summary</vt:lpstr>
      <vt:lpstr>Valid_Overall</vt:lpstr>
      <vt:lpstr>Valid_Credit</vt:lpstr>
      <vt:lpstr>ECL_Model</vt:lpstr>
      <vt:lpstr>Stress_Test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Ofure Akpengbe</cp:lastModifiedBy>
  <dcterms:created xsi:type="dcterms:W3CDTF">2026-09-15T08:51:51Z</dcterms:created>
  <dcterms:modified xsi:type="dcterms:W3CDTF">2026-09-15T09:21:41Z</dcterms:modified>
</cp:coreProperties>
</file>