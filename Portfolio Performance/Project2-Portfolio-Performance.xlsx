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9_{732A231B-7085-4849-81BB-3092B1145566}" xr6:coauthVersionLast="47" xr6:coauthVersionMax="47" xr10:uidLastSave="{00000000-0000-0000-0000-000000000000}"/>
  <bookViews>
    <workbookView xWindow="-98" yWindow="-98" windowWidth="21795" windowHeight="12975" activeTab="3" xr2:uid="{EC1D558E-ED24-4D02-972A-1EC17FCFC081}"/>
  </bookViews>
  <sheets>
    <sheet name="Prices_monthly" sheetId="1" r:id="rId1"/>
    <sheet name="Returns" sheetId="2" r:id="rId2"/>
    <sheet name="Portfolio_Value" sheetId="3" r:id="rId3"/>
    <sheet name="Risk_Calc" sheetId="5" r:id="rId4"/>
    <sheet name="Validation" sheetId="6" r:id="rId5"/>
  </sheets>
  <definedNames>
    <definedName name="_xlnm._FilterDatabase" localSheetId="1" hidden="1">Returns!$A$1:$F$306</definedName>
  </definedNames>
  <calcPr calcId="0"/>
</workbook>
</file>

<file path=xl/calcChain.xml><?xml version="1.0" encoding="utf-8"?>
<calcChain xmlns="http://schemas.openxmlformats.org/spreadsheetml/2006/main">
  <c r="C5" i="5" l="1"/>
  <c r="D5" i="5"/>
  <c r="E5" i="5"/>
  <c r="F5" i="5"/>
  <c r="C4" i="5"/>
  <c r="D4" i="5"/>
  <c r="E4" i="5"/>
  <c r="F4" i="5"/>
  <c r="C3" i="5"/>
  <c r="D3" i="5"/>
  <c r="E3" i="5"/>
  <c r="F3" i="5"/>
  <c r="C2" i="5"/>
  <c r="D2" i="5"/>
  <c r="E2" i="5"/>
  <c r="F2" i="5"/>
  <c r="B5" i="5"/>
  <c r="B4" i="5"/>
  <c r="B3" i="5"/>
  <c r="B2" i="5"/>
  <c r="D4" i="6"/>
  <c r="B4" i="6"/>
  <c r="D3" i="6"/>
  <c r="B3" i="6"/>
  <c r="D2" i="6"/>
  <c r="B2" i="6"/>
</calcChain>
</file>

<file path=xl/sharedStrings.xml><?xml version="1.0" encoding="utf-8"?>
<sst xmlns="http://schemas.openxmlformats.org/spreadsheetml/2006/main" count="2965" uniqueCount="91">
  <si>
    <t>Ticker</t>
  </si>
  <si>
    <t>MonthID</t>
  </si>
  <si>
    <t>MonthEndDate</t>
  </si>
  <si>
    <t>AvgClose</t>
  </si>
  <si>
    <t>TotalVolume</t>
  </si>
  <si>
    <t>AAPL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</si>
  <si>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</si>
  <si>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</si>
  <si>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</si>
  <si>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</si>
  <si>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</si>
  <si>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</si>
  <si>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</si>
  <si>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</si>
  <si>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</si>
  <si>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</si>
  <si>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</si>
  <si>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</si>
  <si>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</si>
  <si>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</si>
  <si>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</si>
  <si>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</si>
  <si>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</si>
  <si>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</si>
  <si>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</si>
  <si>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</si>
  <si>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</si>
  <si>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</si>
  <si>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</si>
  <si>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</si>
  <si>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</si>
  <si>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</si>
  <si>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</si>
  <si>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</si>
  <si>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</si>
  <si>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</si>
  <si>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</si>
  <si>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</si>
  <si>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</si>
  <si>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</si>
  <si>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</si>
  <si>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</si>
  <si>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</si>
  <si>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</si>
  <si>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</si>
  <si>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</si>
  <si>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</si>
  <si>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</si>
  <si>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</si>
  <si>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</si>
  <si>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</si>
  <si>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</si>
  <si>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</si>
  <si>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</si>
  <si>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</si>
  <si>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</si>
  <si>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</si>
  <si>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</si>
  <si>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</si>
  <si>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</si>
  <si>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</si>
  <si>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</si>
  <si>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</si>
  <si>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</si>
  <si>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</si>
  <si>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</si>
  <si>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</si>
  <si>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AMZN</t>
  </si>
  <si>
    <t>GOOGL</t>
  </si>
  <si>
    <t>IBM</t>
  </si>
  <si>
    <t>MSFT</t>
  </si>
  <si>
    <t>PrevClose</t>
  </si>
  <si>
    <t>MonthlyReturnPct</t>
  </si>
  <si>
    <t>ClientID</t>
  </si>
  <si>
    <t>RiskProfile</t>
  </si>
  <si>
    <t>Shares</t>
  </si>
  <si>
    <t>MarketValue</t>
  </si>
  <si>
    <t>UnrealizedGain</t>
  </si>
  <si>
    <t>C001</t>
  </si>
  <si>
    <t>Balanced</t>
  </si>
  <si>
    <t>C002</t>
  </si>
  <si>
    <t>Growth</t>
  </si>
  <si>
    <t>C003</t>
  </si>
  <si>
    <t>Conservative</t>
  </si>
  <si>
    <t>Metric</t>
  </si>
  <si>
    <t>Excel_Value</t>
  </si>
  <si>
    <t xml:space="preserve">SQL_Expected </t>
  </si>
  <si>
    <t xml:space="preserve">Monthly rows </t>
  </si>
  <si>
    <t>Match?</t>
  </si>
  <si>
    <t>Portfolio rows</t>
  </si>
  <si>
    <t xml:space="preserve">C002 AUM Feb-2018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</si>
</sst>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512BF-46B6-46F2-8AF9-BAD6CBE002D1}">
  <dimension ref="A1:E306"/>
  <sheetViews>
    <sheetView workbookViewId="0"/>
  </sheetViews>
  <sheetFormatPr defaultRowHeight="14.25" x14ac:dyDescent="0.45"/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 t="s">
        <v>5</v>
      </c>
      <c r="B2" t="s">
        <v>6</v>
      </c>
      <c r="C2" s="1">
        <v>41333</v>
      </c>
      <c r="D2">
        <v>65.31</v>
      </c>
      <c r="E2">
        <v>1611612359</v>
      </c>
    </row>
    <row r="3" spans="1:5" x14ac:dyDescent="0.45">
      <c r="A3" t="s">
        <v>5</v>
      </c>
      <c r="B3" t="s">
        <v>7</v>
      </c>
      <c r="C3" s="1">
        <v>41361</v>
      </c>
      <c r="D3">
        <v>63.12</v>
      </c>
      <c r="E3">
        <v>2288916525</v>
      </c>
    </row>
    <row r="4" spans="1:5" x14ac:dyDescent="0.45">
      <c r="A4" t="s">
        <v>5</v>
      </c>
      <c r="B4" t="s">
        <v>8</v>
      </c>
      <c r="C4" s="1">
        <v>41394</v>
      </c>
      <c r="D4">
        <v>59.97</v>
      </c>
      <c r="E4">
        <v>2733426556</v>
      </c>
    </row>
    <row r="5" spans="1:5" x14ac:dyDescent="0.45">
      <c r="A5" t="s">
        <v>5</v>
      </c>
      <c r="B5" t="s">
        <v>9</v>
      </c>
      <c r="C5" s="1">
        <v>41425</v>
      </c>
      <c r="D5">
        <v>63.78</v>
      </c>
      <c r="E5">
        <v>2359987959</v>
      </c>
    </row>
    <row r="6" spans="1:5" x14ac:dyDescent="0.45">
      <c r="A6" t="s">
        <v>5</v>
      </c>
      <c r="B6" t="s">
        <v>10</v>
      </c>
      <c r="C6" s="1">
        <v>41453</v>
      </c>
      <c r="D6">
        <v>60.79</v>
      </c>
      <c r="E6">
        <v>1753831331</v>
      </c>
    </row>
    <row r="7" spans="1:5" x14ac:dyDescent="0.45">
      <c r="A7" t="s">
        <v>5</v>
      </c>
      <c r="B7" t="s">
        <v>11</v>
      </c>
      <c r="C7" s="1">
        <v>41486</v>
      </c>
      <c r="D7">
        <v>61.31</v>
      </c>
      <c r="E7">
        <v>1632581104</v>
      </c>
    </row>
    <row r="8" spans="1:5" x14ac:dyDescent="0.45">
      <c r="A8" t="s">
        <v>5</v>
      </c>
      <c r="B8" t="s">
        <v>12</v>
      </c>
      <c r="C8" s="1">
        <v>41516</v>
      </c>
      <c r="D8">
        <v>69.260000000000005</v>
      </c>
      <c r="E8">
        <v>2011059869</v>
      </c>
    </row>
    <row r="9" spans="1:5" x14ac:dyDescent="0.45">
      <c r="A9" t="s">
        <v>5</v>
      </c>
      <c r="B9" t="s">
        <v>13</v>
      </c>
      <c r="C9" s="1">
        <v>41547</v>
      </c>
      <c r="D9">
        <v>68.599999999999994</v>
      </c>
      <c r="E9">
        <v>2153904130</v>
      </c>
    </row>
    <row r="10" spans="1:5" x14ac:dyDescent="0.45">
      <c r="A10" t="s">
        <v>5</v>
      </c>
      <c r="B10" t="s">
        <v>14</v>
      </c>
      <c r="C10" s="1">
        <v>41578</v>
      </c>
      <c r="D10">
        <v>72.11</v>
      </c>
      <c r="E10">
        <v>1958084716</v>
      </c>
    </row>
    <row r="11" spans="1:5" x14ac:dyDescent="0.45">
      <c r="A11" t="s">
        <v>5</v>
      </c>
      <c r="B11" t="s">
        <v>15</v>
      </c>
      <c r="C11" s="1">
        <v>41607</v>
      </c>
      <c r="D11">
        <v>74.95</v>
      </c>
      <c r="E11">
        <v>1306486944</v>
      </c>
    </row>
    <row r="12" spans="1:5" x14ac:dyDescent="0.45">
      <c r="A12" t="s">
        <v>5</v>
      </c>
      <c r="B12" t="s">
        <v>16</v>
      </c>
      <c r="C12" s="1">
        <v>41639</v>
      </c>
      <c r="D12">
        <v>79.95</v>
      </c>
      <c r="E12">
        <v>1764561113</v>
      </c>
    </row>
    <row r="13" spans="1:5" x14ac:dyDescent="0.45">
      <c r="A13" t="s">
        <v>5</v>
      </c>
      <c r="B13" t="s">
        <v>17</v>
      </c>
      <c r="C13" s="1">
        <v>41670</v>
      </c>
      <c r="D13">
        <v>76.78</v>
      </c>
      <c r="E13">
        <v>2203698567</v>
      </c>
    </row>
    <row r="14" spans="1:5" x14ac:dyDescent="0.45">
      <c r="A14" t="s">
        <v>5</v>
      </c>
      <c r="B14" t="s">
        <v>18</v>
      </c>
      <c r="C14" s="1">
        <v>41698</v>
      </c>
      <c r="D14">
        <v>75.23</v>
      </c>
      <c r="E14">
        <v>1473553403</v>
      </c>
    </row>
    <row r="15" spans="1:5" x14ac:dyDescent="0.45">
      <c r="A15" t="s">
        <v>5</v>
      </c>
      <c r="B15" t="s">
        <v>19</v>
      </c>
      <c r="C15" s="1">
        <v>41729</v>
      </c>
      <c r="D15">
        <v>76.17</v>
      </c>
      <c r="E15">
        <v>1251732447</v>
      </c>
    </row>
    <row r="16" spans="1:5" x14ac:dyDescent="0.45">
      <c r="A16" t="s">
        <v>5</v>
      </c>
      <c r="B16" t="s">
        <v>20</v>
      </c>
      <c r="C16" s="1">
        <v>41759</v>
      </c>
      <c r="D16">
        <v>77.3</v>
      </c>
      <c r="E16">
        <v>1608767685</v>
      </c>
    </row>
    <row r="17" spans="1:5" x14ac:dyDescent="0.45">
      <c r="A17" t="s">
        <v>5</v>
      </c>
      <c r="B17" t="s">
        <v>21</v>
      </c>
      <c r="C17" s="1">
        <v>41789</v>
      </c>
      <c r="D17">
        <v>86.17</v>
      </c>
      <c r="E17">
        <v>1434124272</v>
      </c>
    </row>
    <row r="18" spans="1:5" x14ac:dyDescent="0.45">
      <c r="A18" t="s">
        <v>5</v>
      </c>
      <c r="B18" t="s">
        <v>22</v>
      </c>
      <c r="C18" s="1">
        <v>41820</v>
      </c>
      <c r="D18">
        <v>91.89</v>
      </c>
      <c r="E18">
        <v>1207232813</v>
      </c>
    </row>
    <row r="19" spans="1:5" x14ac:dyDescent="0.45">
      <c r="A19" t="s">
        <v>5</v>
      </c>
      <c r="B19" t="s">
        <v>23</v>
      </c>
      <c r="C19" s="1">
        <v>41851</v>
      </c>
      <c r="D19">
        <v>95.63</v>
      </c>
      <c r="E19">
        <v>1035409432</v>
      </c>
    </row>
    <row r="20" spans="1:5" x14ac:dyDescent="0.45">
      <c r="A20" t="s">
        <v>5</v>
      </c>
      <c r="B20" t="s">
        <v>24</v>
      </c>
      <c r="C20" s="1">
        <v>41880</v>
      </c>
      <c r="D20">
        <v>98.44</v>
      </c>
      <c r="E20">
        <v>937029111</v>
      </c>
    </row>
    <row r="21" spans="1:5" x14ac:dyDescent="0.45">
      <c r="A21" t="s">
        <v>5</v>
      </c>
      <c r="B21" t="s">
        <v>25</v>
      </c>
      <c r="C21" s="1">
        <v>41912</v>
      </c>
      <c r="D21">
        <v>100.55</v>
      </c>
      <c r="E21">
        <v>1527937649</v>
      </c>
    </row>
    <row r="22" spans="1:5" x14ac:dyDescent="0.45">
      <c r="A22" t="s">
        <v>5</v>
      </c>
      <c r="B22" t="s">
        <v>26</v>
      </c>
      <c r="C22" s="1">
        <v>41943</v>
      </c>
      <c r="D22">
        <v>101.7</v>
      </c>
      <c r="E22">
        <v>1360280122</v>
      </c>
    </row>
    <row r="23" spans="1:5" x14ac:dyDescent="0.45">
      <c r="A23" t="s">
        <v>5</v>
      </c>
      <c r="B23" t="s">
        <v>27</v>
      </c>
      <c r="C23" s="1">
        <v>41971</v>
      </c>
      <c r="D23">
        <v>113.28</v>
      </c>
      <c r="E23">
        <v>820471729</v>
      </c>
    </row>
    <row r="24" spans="1:5" x14ac:dyDescent="0.45">
      <c r="A24" t="s">
        <v>5</v>
      </c>
      <c r="B24" t="s">
        <v>28</v>
      </c>
      <c r="C24" s="1">
        <v>42004</v>
      </c>
      <c r="D24">
        <v>112.41</v>
      </c>
      <c r="E24">
        <v>1073775862</v>
      </c>
    </row>
    <row r="25" spans="1:5" x14ac:dyDescent="0.45">
      <c r="A25" t="s">
        <v>5</v>
      </c>
      <c r="B25" t="s">
        <v>29</v>
      </c>
      <c r="C25" s="1">
        <v>42034</v>
      </c>
      <c r="D25">
        <v>110.64</v>
      </c>
      <c r="E25">
        <v>1305263613</v>
      </c>
    </row>
    <row r="26" spans="1:5" x14ac:dyDescent="0.45">
      <c r="A26" t="s">
        <v>5</v>
      </c>
      <c r="B26" t="s">
        <v>30</v>
      </c>
      <c r="C26" s="1">
        <v>42062</v>
      </c>
      <c r="D26">
        <v>125.43</v>
      </c>
      <c r="E26">
        <v>1136535493</v>
      </c>
    </row>
    <row r="27" spans="1:5" x14ac:dyDescent="0.45">
      <c r="A27" t="s">
        <v>5</v>
      </c>
      <c r="B27" t="s">
        <v>31</v>
      </c>
      <c r="C27" s="1">
        <v>42094</v>
      </c>
      <c r="D27">
        <v>125.97</v>
      </c>
      <c r="E27">
        <v>1138641910</v>
      </c>
    </row>
    <row r="28" spans="1:5" x14ac:dyDescent="0.45">
      <c r="A28" t="s">
        <v>5</v>
      </c>
      <c r="B28" t="s">
        <v>32</v>
      </c>
      <c r="C28" s="1">
        <v>42124</v>
      </c>
      <c r="D28">
        <v>127.29</v>
      </c>
      <c r="E28">
        <v>996135511</v>
      </c>
    </row>
    <row r="29" spans="1:5" x14ac:dyDescent="0.45">
      <c r="A29" t="s">
        <v>5</v>
      </c>
      <c r="B29" t="s">
        <v>33</v>
      </c>
      <c r="C29" s="1">
        <v>42153</v>
      </c>
      <c r="D29">
        <v>128.76</v>
      </c>
      <c r="E29">
        <v>954152126</v>
      </c>
    </row>
    <row r="30" spans="1:5" x14ac:dyDescent="0.45">
      <c r="A30" t="s">
        <v>5</v>
      </c>
      <c r="B30" t="s">
        <v>34</v>
      </c>
      <c r="C30" s="1">
        <v>42185</v>
      </c>
      <c r="D30">
        <v>127.81</v>
      </c>
      <c r="E30">
        <v>878606841</v>
      </c>
    </row>
    <row r="31" spans="1:5" x14ac:dyDescent="0.45">
      <c r="A31" t="s">
        <v>5</v>
      </c>
      <c r="B31" t="s">
        <v>35</v>
      </c>
      <c r="C31" s="1">
        <v>42216</v>
      </c>
      <c r="D31">
        <v>125.34</v>
      </c>
      <c r="E31">
        <v>1058280697</v>
      </c>
    </row>
    <row r="32" spans="1:5" x14ac:dyDescent="0.45">
      <c r="A32" t="s">
        <v>5</v>
      </c>
      <c r="B32" t="s">
        <v>36</v>
      </c>
      <c r="C32" s="1">
        <v>42247</v>
      </c>
      <c r="D32">
        <v>113.39</v>
      </c>
      <c r="E32">
        <v>1607287267</v>
      </c>
    </row>
    <row r="33" spans="1:5" x14ac:dyDescent="0.45">
      <c r="A33" t="s">
        <v>5</v>
      </c>
      <c r="B33" t="s">
        <v>37</v>
      </c>
      <c r="C33" s="1">
        <v>42277</v>
      </c>
      <c r="D33">
        <v>112.8</v>
      </c>
      <c r="E33">
        <v>1206547333</v>
      </c>
    </row>
    <row r="34" spans="1:5" x14ac:dyDescent="0.45">
      <c r="A34" t="s">
        <v>5</v>
      </c>
      <c r="B34" t="s">
        <v>38</v>
      </c>
      <c r="C34" s="1">
        <v>42307</v>
      </c>
      <c r="D34">
        <v>113.36</v>
      </c>
      <c r="E34">
        <v>1113703829</v>
      </c>
    </row>
    <row r="35" spans="1:5" x14ac:dyDescent="0.45">
      <c r="A35" t="s">
        <v>5</v>
      </c>
      <c r="B35" t="s">
        <v>39</v>
      </c>
      <c r="C35" s="1">
        <v>42338</v>
      </c>
      <c r="D35">
        <v>118.16</v>
      </c>
      <c r="E35">
        <v>750640573</v>
      </c>
    </row>
    <row r="36" spans="1:5" x14ac:dyDescent="0.45">
      <c r="A36" t="s">
        <v>5</v>
      </c>
      <c r="B36" t="s">
        <v>40</v>
      </c>
      <c r="C36" s="1">
        <v>42369</v>
      </c>
      <c r="D36">
        <v>111.73</v>
      </c>
      <c r="E36">
        <v>922626259</v>
      </c>
    </row>
    <row r="37" spans="1:5" x14ac:dyDescent="0.45">
      <c r="A37" t="s">
        <v>5</v>
      </c>
      <c r="B37" t="s">
        <v>41</v>
      </c>
      <c r="C37" s="1">
        <v>42398</v>
      </c>
      <c r="D37">
        <v>98.43</v>
      </c>
      <c r="E37">
        <v>1271848087</v>
      </c>
    </row>
    <row r="38" spans="1:5" x14ac:dyDescent="0.45">
      <c r="A38" t="s">
        <v>5</v>
      </c>
      <c r="B38" t="s">
        <v>42</v>
      </c>
      <c r="C38" s="1">
        <v>42429</v>
      </c>
      <c r="D38">
        <v>95.75</v>
      </c>
      <c r="E38">
        <v>810862547</v>
      </c>
    </row>
    <row r="39" spans="1:5" x14ac:dyDescent="0.45">
      <c r="A39" t="s">
        <v>5</v>
      </c>
      <c r="B39" t="s">
        <v>43</v>
      </c>
      <c r="C39" s="1">
        <v>42460</v>
      </c>
      <c r="D39">
        <v>104.27</v>
      </c>
      <c r="E39">
        <v>746136466</v>
      </c>
    </row>
    <row r="40" spans="1:5" x14ac:dyDescent="0.45">
      <c r="A40" t="s">
        <v>5</v>
      </c>
      <c r="B40" t="s">
        <v>44</v>
      </c>
      <c r="C40" s="1">
        <v>42489</v>
      </c>
      <c r="D40">
        <v>106.74</v>
      </c>
      <c r="E40">
        <v>872383623</v>
      </c>
    </row>
    <row r="41" spans="1:5" x14ac:dyDescent="0.45">
      <c r="A41" t="s">
        <v>5</v>
      </c>
      <c r="B41" t="s">
        <v>45</v>
      </c>
      <c r="C41" s="1">
        <v>42521</v>
      </c>
      <c r="D41">
        <v>94.97</v>
      </c>
      <c r="E41">
        <v>901144768</v>
      </c>
    </row>
    <row r="42" spans="1:5" x14ac:dyDescent="0.45">
      <c r="A42" t="s">
        <v>5</v>
      </c>
      <c r="B42" t="s">
        <v>46</v>
      </c>
      <c r="C42" s="1">
        <v>42551</v>
      </c>
      <c r="D42">
        <v>96.62</v>
      </c>
      <c r="E42">
        <v>780630235</v>
      </c>
    </row>
    <row r="43" spans="1:5" x14ac:dyDescent="0.45">
      <c r="A43" t="s">
        <v>5</v>
      </c>
      <c r="B43" t="s">
        <v>47</v>
      </c>
      <c r="C43" s="1">
        <v>42580</v>
      </c>
      <c r="D43">
        <v>98.56</v>
      </c>
      <c r="E43">
        <v>685779613</v>
      </c>
    </row>
    <row r="44" spans="1:5" x14ac:dyDescent="0.45">
      <c r="A44" t="s">
        <v>5</v>
      </c>
      <c r="B44" t="s">
        <v>48</v>
      </c>
      <c r="C44" s="1">
        <v>42613</v>
      </c>
      <c r="D44">
        <v>107.67</v>
      </c>
      <c r="E44">
        <v>630128567</v>
      </c>
    </row>
    <row r="45" spans="1:5" x14ac:dyDescent="0.45">
      <c r="A45" t="s">
        <v>5</v>
      </c>
      <c r="B45" t="s">
        <v>49</v>
      </c>
      <c r="C45" s="1">
        <v>42643</v>
      </c>
      <c r="D45">
        <v>110.86</v>
      </c>
      <c r="E45">
        <v>970096738</v>
      </c>
    </row>
    <row r="46" spans="1:5" x14ac:dyDescent="0.45">
      <c r="A46" t="s">
        <v>5</v>
      </c>
      <c r="B46" t="s">
        <v>50</v>
      </c>
      <c r="C46" s="1">
        <v>42674</v>
      </c>
      <c r="D46">
        <v>115.71</v>
      </c>
      <c r="E46">
        <v>686914224</v>
      </c>
    </row>
    <row r="47" spans="1:5" x14ac:dyDescent="0.45">
      <c r="A47" t="s">
        <v>5</v>
      </c>
      <c r="B47" t="s">
        <v>51</v>
      </c>
      <c r="C47" s="1">
        <v>42704</v>
      </c>
      <c r="D47">
        <v>110.15</v>
      </c>
      <c r="E47">
        <v>721554967</v>
      </c>
    </row>
    <row r="48" spans="1:5" x14ac:dyDescent="0.45">
      <c r="A48" t="s">
        <v>5</v>
      </c>
      <c r="B48" t="s">
        <v>52</v>
      </c>
      <c r="C48" s="1">
        <v>42734</v>
      </c>
      <c r="D48">
        <v>114.34</v>
      </c>
      <c r="E48">
        <v>608771645</v>
      </c>
    </row>
    <row r="49" spans="1:5" x14ac:dyDescent="0.45">
      <c r="A49" t="s">
        <v>5</v>
      </c>
      <c r="B49" t="s">
        <v>53</v>
      </c>
      <c r="C49" s="1">
        <v>42766</v>
      </c>
      <c r="D49">
        <v>119.57</v>
      </c>
      <c r="E49">
        <v>563331160</v>
      </c>
    </row>
    <row r="50" spans="1:5" x14ac:dyDescent="0.45">
      <c r="A50" t="s">
        <v>5</v>
      </c>
      <c r="B50" t="s">
        <v>54</v>
      </c>
      <c r="C50" s="1">
        <v>42794</v>
      </c>
      <c r="D50">
        <v>133.71</v>
      </c>
      <c r="E50">
        <v>574968547</v>
      </c>
    </row>
    <row r="51" spans="1:5" x14ac:dyDescent="0.45">
      <c r="A51" t="s">
        <v>5</v>
      </c>
      <c r="B51" t="s">
        <v>55</v>
      </c>
      <c r="C51" s="1">
        <v>42825</v>
      </c>
      <c r="D51">
        <v>140.62</v>
      </c>
      <c r="E51">
        <v>562091214</v>
      </c>
    </row>
    <row r="52" spans="1:5" x14ac:dyDescent="0.45">
      <c r="A52" t="s">
        <v>5</v>
      </c>
      <c r="B52" t="s">
        <v>56</v>
      </c>
      <c r="C52" s="1">
        <v>42853</v>
      </c>
      <c r="D52">
        <v>142.88999999999999</v>
      </c>
      <c r="E52">
        <v>373290435</v>
      </c>
    </row>
    <row r="53" spans="1:5" x14ac:dyDescent="0.45">
      <c r="A53" t="s">
        <v>5</v>
      </c>
      <c r="B53" t="s">
        <v>57</v>
      </c>
      <c r="C53" s="1">
        <v>42886</v>
      </c>
      <c r="D53">
        <v>152.22999999999999</v>
      </c>
      <c r="E53">
        <v>654022901</v>
      </c>
    </row>
    <row r="54" spans="1:5" x14ac:dyDescent="0.45">
      <c r="A54" t="s">
        <v>5</v>
      </c>
      <c r="B54" t="s">
        <v>58</v>
      </c>
      <c r="C54" s="1">
        <v>42916</v>
      </c>
      <c r="D54">
        <v>147.83000000000001</v>
      </c>
      <c r="E54">
        <v>684178036</v>
      </c>
    </row>
    <row r="55" spans="1:5" x14ac:dyDescent="0.45">
      <c r="A55" t="s">
        <v>5</v>
      </c>
      <c r="B55" t="s">
        <v>59</v>
      </c>
      <c r="C55" s="1">
        <v>42947</v>
      </c>
      <c r="D55">
        <v>148.30000000000001</v>
      </c>
      <c r="E55">
        <v>422011831</v>
      </c>
    </row>
    <row r="56" spans="1:5" x14ac:dyDescent="0.45">
      <c r="A56" t="s">
        <v>5</v>
      </c>
      <c r="B56" t="s">
        <v>60</v>
      </c>
      <c r="C56" s="1">
        <v>42978</v>
      </c>
      <c r="D56">
        <v>159.38999999999999</v>
      </c>
      <c r="E56">
        <v>646894310</v>
      </c>
    </row>
    <row r="57" spans="1:5" x14ac:dyDescent="0.45">
      <c r="A57" t="s">
        <v>5</v>
      </c>
      <c r="B57" t="s">
        <v>61</v>
      </c>
      <c r="C57" s="1">
        <v>43007</v>
      </c>
      <c r="D57">
        <v>157.61000000000001</v>
      </c>
      <c r="E57">
        <v>680442092</v>
      </c>
    </row>
    <row r="58" spans="1:5" x14ac:dyDescent="0.45">
      <c r="A58" t="s">
        <v>5</v>
      </c>
      <c r="B58" t="s">
        <v>62</v>
      </c>
      <c r="C58" s="1">
        <v>43039</v>
      </c>
      <c r="D58">
        <v>157.82</v>
      </c>
      <c r="E58">
        <v>504291118</v>
      </c>
    </row>
    <row r="59" spans="1:5" x14ac:dyDescent="0.45">
      <c r="A59" t="s">
        <v>5</v>
      </c>
      <c r="B59" t="s">
        <v>63</v>
      </c>
      <c r="C59" s="1">
        <v>43069</v>
      </c>
      <c r="D59">
        <v>172.41</v>
      </c>
      <c r="E59">
        <v>600366443</v>
      </c>
    </row>
    <row r="60" spans="1:5" x14ac:dyDescent="0.45">
      <c r="A60" t="s">
        <v>5</v>
      </c>
      <c r="B60" t="s">
        <v>64</v>
      </c>
      <c r="C60" s="1">
        <v>43098</v>
      </c>
      <c r="D60">
        <v>171.89</v>
      </c>
      <c r="E60">
        <v>531184058</v>
      </c>
    </row>
    <row r="61" spans="1:5" x14ac:dyDescent="0.45">
      <c r="A61" t="s">
        <v>5</v>
      </c>
      <c r="B61" t="s">
        <v>65</v>
      </c>
      <c r="C61" s="1">
        <v>43131</v>
      </c>
      <c r="D61">
        <v>174.01</v>
      </c>
      <c r="E61">
        <v>659679440</v>
      </c>
    </row>
    <row r="62" spans="1:5" x14ac:dyDescent="0.45">
      <c r="A62" t="s">
        <v>5</v>
      </c>
      <c r="B62" t="s">
        <v>66</v>
      </c>
      <c r="C62" s="1">
        <v>43138</v>
      </c>
      <c r="D62">
        <v>161.47</v>
      </c>
      <c r="E62">
        <v>326415552</v>
      </c>
    </row>
    <row r="63" spans="1:5" x14ac:dyDescent="0.45">
      <c r="A63" t="s">
        <v>67</v>
      </c>
      <c r="B63" t="s">
        <v>6</v>
      </c>
      <c r="C63" s="1">
        <v>41333</v>
      </c>
      <c r="D63">
        <v>264</v>
      </c>
      <c r="E63">
        <v>48055490</v>
      </c>
    </row>
    <row r="64" spans="1:5" x14ac:dyDescent="0.45">
      <c r="A64" t="s">
        <v>67</v>
      </c>
      <c r="B64" t="s">
        <v>7</v>
      </c>
      <c r="C64" s="1">
        <v>41361</v>
      </c>
      <c r="D64">
        <v>265.76</v>
      </c>
      <c r="E64">
        <v>58496026</v>
      </c>
    </row>
    <row r="65" spans="1:5" x14ac:dyDescent="0.45">
      <c r="A65" t="s">
        <v>67</v>
      </c>
      <c r="B65" t="s">
        <v>8</v>
      </c>
      <c r="C65" s="1">
        <v>41394</v>
      </c>
      <c r="D65">
        <v>263.07</v>
      </c>
      <c r="E65">
        <v>76801276</v>
      </c>
    </row>
    <row r="66" spans="1:5" x14ac:dyDescent="0.45">
      <c r="A66" t="s">
        <v>67</v>
      </c>
      <c r="B66" t="s">
        <v>9</v>
      </c>
      <c r="C66" s="1">
        <v>41425</v>
      </c>
      <c r="D66">
        <v>262.73</v>
      </c>
      <c r="E66">
        <v>59032533</v>
      </c>
    </row>
    <row r="67" spans="1:5" x14ac:dyDescent="0.45">
      <c r="A67" t="s">
        <v>67</v>
      </c>
      <c r="B67" t="s">
        <v>10</v>
      </c>
      <c r="C67" s="1">
        <v>41453</v>
      </c>
      <c r="D67">
        <v>274.10000000000002</v>
      </c>
      <c r="E67">
        <v>58563657</v>
      </c>
    </row>
    <row r="68" spans="1:5" x14ac:dyDescent="0.45">
      <c r="A68" t="s">
        <v>67</v>
      </c>
      <c r="B68" t="s">
        <v>11</v>
      </c>
      <c r="C68" s="1">
        <v>41486</v>
      </c>
      <c r="D68">
        <v>298.98</v>
      </c>
      <c r="E68">
        <v>67513625</v>
      </c>
    </row>
    <row r="69" spans="1:5" x14ac:dyDescent="0.45">
      <c r="A69" t="s">
        <v>67</v>
      </c>
      <c r="B69" t="s">
        <v>12</v>
      </c>
      <c r="C69" s="1">
        <v>41516</v>
      </c>
      <c r="D69">
        <v>291.14999999999998</v>
      </c>
      <c r="E69">
        <v>43782031</v>
      </c>
    </row>
    <row r="70" spans="1:5" x14ac:dyDescent="0.45">
      <c r="A70" t="s">
        <v>67</v>
      </c>
      <c r="B70" t="s">
        <v>13</v>
      </c>
      <c r="C70" s="1">
        <v>41547</v>
      </c>
      <c r="D70">
        <v>304.73</v>
      </c>
      <c r="E70">
        <v>43459071</v>
      </c>
    </row>
    <row r="71" spans="1:5" x14ac:dyDescent="0.45">
      <c r="A71" t="s">
        <v>67</v>
      </c>
      <c r="B71" t="s">
        <v>14</v>
      </c>
      <c r="C71" s="1">
        <v>41578</v>
      </c>
      <c r="D71">
        <v>325.97000000000003</v>
      </c>
      <c r="E71">
        <v>77345474</v>
      </c>
    </row>
    <row r="72" spans="1:5" x14ac:dyDescent="0.45">
      <c r="A72" t="s">
        <v>67</v>
      </c>
      <c r="B72" t="s">
        <v>15</v>
      </c>
      <c r="C72" s="1">
        <v>41607</v>
      </c>
      <c r="D72">
        <v>364.83</v>
      </c>
      <c r="E72">
        <v>54248224</v>
      </c>
    </row>
    <row r="73" spans="1:5" x14ac:dyDescent="0.45">
      <c r="A73" t="s">
        <v>67</v>
      </c>
      <c r="B73" t="s">
        <v>16</v>
      </c>
      <c r="C73" s="1">
        <v>41639</v>
      </c>
      <c r="D73">
        <v>391.5</v>
      </c>
      <c r="E73">
        <v>55737811</v>
      </c>
    </row>
    <row r="74" spans="1:5" x14ac:dyDescent="0.45">
      <c r="A74" t="s">
        <v>67</v>
      </c>
      <c r="B74" t="s">
        <v>17</v>
      </c>
      <c r="C74" s="1">
        <v>41670</v>
      </c>
      <c r="D74">
        <v>394.86</v>
      </c>
      <c r="E74">
        <v>81581111</v>
      </c>
    </row>
    <row r="75" spans="1:5" x14ac:dyDescent="0.45">
      <c r="A75" t="s">
        <v>67</v>
      </c>
      <c r="B75" t="s">
        <v>18</v>
      </c>
      <c r="C75" s="1">
        <v>41698</v>
      </c>
      <c r="D75">
        <v>354.34</v>
      </c>
      <c r="E75">
        <v>83112465</v>
      </c>
    </row>
    <row r="76" spans="1:5" x14ac:dyDescent="0.45">
      <c r="A76" t="s">
        <v>67</v>
      </c>
      <c r="B76" t="s">
        <v>19</v>
      </c>
      <c r="C76" s="1">
        <v>41729</v>
      </c>
      <c r="D76">
        <v>362.63</v>
      </c>
      <c r="E76">
        <v>75306540</v>
      </c>
    </row>
    <row r="77" spans="1:5" x14ac:dyDescent="0.45">
      <c r="A77" t="s">
        <v>67</v>
      </c>
      <c r="B77" t="s">
        <v>20</v>
      </c>
      <c r="C77" s="1">
        <v>41759</v>
      </c>
      <c r="D77">
        <v>321.64</v>
      </c>
      <c r="E77">
        <v>138309206</v>
      </c>
    </row>
    <row r="78" spans="1:5" x14ac:dyDescent="0.45">
      <c r="A78" t="s">
        <v>67</v>
      </c>
      <c r="B78" t="s">
        <v>21</v>
      </c>
      <c r="C78" s="1">
        <v>41789</v>
      </c>
      <c r="D78">
        <v>302.95</v>
      </c>
      <c r="E78">
        <v>78608877</v>
      </c>
    </row>
    <row r="79" spans="1:5" x14ac:dyDescent="0.45">
      <c r="A79" t="s">
        <v>67</v>
      </c>
      <c r="B79" t="s">
        <v>22</v>
      </c>
      <c r="C79" s="1">
        <v>41820</v>
      </c>
      <c r="D79">
        <v>324.57</v>
      </c>
      <c r="E79">
        <v>76634661</v>
      </c>
    </row>
    <row r="80" spans="1:5" x14ac:dyDescent="0.45">
      <c r="A80" t="s">
        <v>67</v>
      </c>
      <c r="B80" t="s">
        <v>23</v>
      </c>
      <c r="C80" s="1">
        <v>41851</v>
      </c>
      <c r="D80">
        <v>339.92</v>
      </c>
      <c r="E80">
        <v>99490741</v>
      </c>
    </row>
    <row r="81" spans="1:5" x14ac:dyDescent="0.45">
      <c r="A81" t="s">
        <v>67</v>
      </c>
      <c r="B81" t="s">
        <v>24</v>
      </c>
      <c r="C81" s="1">
        <v>41880</v>
      </c>
      <c r="D81">
        <v>327.33</v>
      </c>
      <c r="E81">
        <v>62071083</v>
      </c>
    </row>
    <row r="82" spans="1:5" x14ac:dyDescent="0.45">
      <c r="A82" t="s">
        <v>67</v>
      </c>
      <c r="B82" t="s">
        <v>25</v>
      </c>
      <c r="C82" s="1">
        <v>41912</v>
      </c>
      <c r="D82">
        <v>330.31</v>
      </c>
      <c r="E82">
        <v>68101189</v>
      </c>
    </row>
    <row r="83" spans="1:5" x14ac:dyDescent="0.45">
      <c r="A83" t="s">
        <v>67</v>
      </c>
      <c r="B83" t="s">
        <v>26</v>
      </c>
      <c r="C83" s="1">
        <v>41943</v>
      </c>
      <c r="D83">
        <v>308.41000000000003</v>
      </c>
      <c r="E83">
        <v>111120640</v>
      </c>
    </row>
    <row r="84" spans="1:5" x14ac:dyDescent="0.45">
      <c r="A84" t="s">
        <v>67</v>
      </c>
      <c r="B84" t="s">
        <v>27</v>
      </c>
      <c r="C84" s="1">
        <v>41971</v>
      </c>
      <c r="D84">
        <v>318.69</v>
      </c>
      <c r="E84">
        <v>68993021</v>
      </c>
    </row>
    <row r="85" spans="1:5" x14ac:dyDescent="0.45">
      <c r="A85" t="s">
        <v>67</v>
      </c>
      <c r="B85" t="s">
        <v>28</v>
      </c>
      <c r="C85" s="1">
        <v>42004</v>
      </c>
      <c r="D85">
        <v>308.79000000000002</v>
      </c>
      <c r="E85">
        <v>86874154</v>
      </c>
    </row>
    <row r="86" spans="1:5" x14ac:dyDescent="0.45">
      <c r="A86" t="s">
        <v>67</v>
      </c>
      <c r="B86" t="s">
        <v>29</v>
      </c>
      <c r="C86" s="1">
        <v>42034</v>
      </c>
      <c r="D86">
        <v>302.75</v>
      </c>
      <c r="E86">
        <v>103061942</v>
      </c>
    </row>
    <row r="87" spans="1:5" x14ac:dyDescent="0.45">
      <c r="A87" t="s">
        <v>67</v>
      </c>
      <c r="B87" t="s">
        <v>30</v>
      </c>
      <c r="C87" s="1">
        <v>42062</v>
      </c>
      <c r="D87">
        <v>375.74</v>
      </c>
      <c r="E87">
        <v>70847240</v>
      </c>
    </row>
    <row r="88" spans="1:5" x14ac:dyDescent="0.45">
      <c r="A88" t="s">
        <v>67</v>
      </c>
      <c r="B88" t="s">
        <v>31</v>
      </c>
      <c r="C88" s="1">
        <v>42094</v>
      </c>
      <c r="D88">
        <v>375.32</v>
      </c>
      <c r="E88">
        <v>55502746</v>
      </c>
    </row>
    <row r="89" spans="1:5" x14ac:dyDescent="0.45">
      <c r="A89" t="s">
        <v>67</v>
      </c>
      <c r="B89" t="s">
        <v>32</v>
      </c>
      <c r="C89" s="1">
        <v>42124</v>
      </c>
      <c r="D89">
        <v>394.21</v>
      </c>
      <c r="E89">
        <v>84404887</v>
      </c>
    </row>
    <row r="90" spans="1:5" x14ac:dyDescent="0.45">
      <c r="A90" t="s">
        <v>67</v>
      </c>
      <c r="B90" t="s">
        <v>33</v>
      </c>
      <c r="C90" s="1">
        <v>42153</v>
      </c>
      <c r="D90">
        <v>426.93</v>
      </c>
      <c r="E90">
        <v>51984199</v>
      </c>
    </row>
    <row r="91" spans="1:5" x14ac:dyDescent="0.45">
      <c r="A91" t="s">
        <v>67</v>
      </c>
      <c r="B91" t="s">
        <v>34</v>
      </c>
      <c r="C91" s="1">
        <v>42185</v>
      </c>
      <c r="D91">
        <v>432.6</v>
      </c>
      <c r="E91">
        <v>54989227</v>
      </c>
    </row>
    <row r="92" spans="1:5" x14ac:dyDescent="0.45">
      <c r="A92" t="s">
        <v>67</v>
      </c>
      <c r="B92" t="s">
        <v>35</v>
      </c>
      <c r="C92" s="1">
        <v>42216</v>
      </c>
      <c r="D92">
        <v>478.71</v>
      </c>
      <c r="E92">
        <v>102069942</v>
      </c>
    </row>
    <row r="93" spans="1:5" x14ac:dyDescent="0.45">
      <c r="A93" t="s">
        <v>67</v>
      </c>
      <c r="B93" t="s">
        <v>36</v>
      </c>
      <c r="C93" s="1">
        <v>42247</v>
      </c>
      <c r="D93">
        <v>518.46</v>
      </c>
      <c r="E93">
        <v>82915685</v>
      </c>
    </row>
    <row r="94" spans="1:5" x14ac:dyDescent="0.45">
      <c r="A94" t="s">
        <v>67</v>
      </c>
      <c r="B94" t="s">
        <v>37</v>
      </c>
      <c r="C94" s="1">
        <v>42277</v>
      </c>
      <c r="D94">
        <v>520.96</v>
      </c>
      <c r="E94">
        <v>76768850</v>
      </c>
    </row>
    <row r="95" spans="1:5" x14ac:dyDescent="0.45">
      <c r="A95" t="s">
        <v>67</v>
      </c>
      <c r="B95" t="s">
        <v>38</v>
      </c>
      <c r="C95" s="1">
        <v>42307</v>
      </c>
      <c r="D95">
        <v>566.74</v>
      </c>
      <c r="E95">
        <v>97188843</v>
      </c>
    </row>
    <row r="96" spans="1:5" x14ac:dyDescent="0.45">
      <c r="A96" t="s">
        <v>67</v>
      </c>
      <c r="B96" t="s">
        <v>39</v>
      </c>
      <c r="C96" s="1">
        <v>42338</v>
      </c>
      <c r="D96">
        <v>657.7</v>
      </c>
      <c r="E96">
        <v>87304837</v>
      </c>
    </row>
    <row r="97" spans="1:5" x14ac:dyDescent="0.45">
      <c r="A97" t="s">
        <v>67</v>
      </c>
      <c r="B97" t="s">
        <v>40</v>
      </c>
      <c r="C97" s="1">
        <v>42369</v>
      </c>
      <c r="D97">
        <v>669.26</v>
      </c>
      <c r="E97">
        <v>90220804</v>
      </c>
    </row>
    <row r="98" spans="1:5" x14ac:dyDescent="0.45">
      <c r="A98" t="s">
        <v>67</v>
      </c>
      <c r="B98" t="s">
        <v>41</v>
      </c>
      <c r="C98" s="1">
        <v>42398</v>
      </c>
      <c r="D98">
        <v>601.05999999999995</v>
      </c>
      <c r="E98">
        <v>130200780</v>
      </c>
    </row>
    <row r="99" spans="1:5" x14ac:dyDescent="0.45">
      <c r="A99" t="s">
        <v>67</v>
      </c>
      <c r="B99" t="s">
        <v>42</v>
      </c>
      <c r="C99" s="1">
        <v>42429</v>
      </c>
      <c r="D99">
        <v>530.62</v>
      </c>
      <c r="E99">
        <v>124144797</v>
      </c>
    </row>
    <row r="100" spans="1:5" x14ac:dyDescent="0.45">
      <c r="A100" t="s">
        <v>67</v>
      </c>
      <c r="B100" t="s">
        <v>43</v>
      </c>
      <c r="C100" s="1">
        <v>42460</v>
      </c>
      <c r="D100">
        <v>572.37</v>
      </c>
      <c r="E100">
        <v>94014971</v>
      </c>
    </row>
    <row r="101" spans="1:5" x14ac:dyDescent="0.45">
      <c r="A101" t="s">
        <v>67</v>
      </c>
      <c r="B101" t="s">
        <v>44</v>
      </c>
      <c r="C101" s="1">
        <v>42489</v>
      </c>
      <c r="D101">
        <v>613.59</v>
      </c>
      <c r="E101">
        <v>78464320</v>
      </c>
    </row>
    <row r="102" spans="1:5" x14ac:dyDescent="0.45">
      <c r="A102" t="s">
        <v>67</v>
      </c>
      <c r="B102" t="s">
        <v>45</v>
      </c>
      <c r="C102" s="1">
        <v>42521</v>
      </c>
      <c r="D102">
        <v>697.47</v>
      </c>
      <c r="E102">
        <v>90623145</v>
      </c>
    </row>
    <row r="103" spans="1:5" x14ac:dyDescent="0.45">
      <c r="A103" t="s">
        <v>67</v>
      </c>
      <c r="B103" t="s">
        <v>46</v>
      </c>
      <c r="C103" s="1">
        <v>42551</v>
      </c>
      <c r="D103">
        <v>716.39</v>
      </c>
      <c r="E103">
        <v>74556809</v>
      </c>
    </row>
    <row r="104" spans="1:5" x14ac:dyDescent="0.45">
      <c r="A104" t="s">
        <v>67</v>
      </c>
      <c r="B104" t="s">
        <v>47</v>
      </c>
      <c r="C104" s="1">
        <v>42580</v>
      </c>
      <c r="D104">
        <v>741.47</v>
      </c>
      <c r="E104">
        <v>68635440</v>
      </c>
    </row>
    <row r="105" spans="1:5" x14ac:dyDescent="0.45">
      <c r="A105" t="s">
        <v>67</v>
      </c>
      <c r="B105" t="s">
        <v>48</v>
      </c>
      <c r="C105" s="1">
        <v>42613</v>
      </c>
      <c r="D105">
        <v>764.84</v>
      </c>
      <c r="E105">
        <v>50000397</v>
      </c>
    </row>
    <row r="106" spans="1:5" x14ac:dyDescent="0.45">
      <c r="A106" t="s">
        <v>67</v>
      </c>
      <c r="B106" t="s">
        <v>49</v>
      </c>
      <c r="C106" s="1">
        <v>42643</v>
      </c>
      <c r="D106">
        <v>788.97</v>
      </c>
      <c r="E106">
        <v>67354133</v>
      </c>
    </row>
    <row r="107" spans="1:5" x14ac:dyDescent="0.45">
      <c r="A107" t="s">
        <v>67</v>
      </c>
      <c r="B107" t="s">
        <v>50</v>
      </c>
      <c r="C107" s="1">
        <v>42674</v>
      </c>
      <c r="D107">
        <v>824.44</v>
      </c>
      <c r="E107">
        <v>77063812</v>
      </c>
    </row>
    <row r="108" spans="1:5" x14ac:dyDescent="0.45">
      <c r="A108" t="s">
        <v>67</v>
      </c>
      <c r="B108" t="s">
        <v>51</v>
      </c>
      <c r="C108" s="1">
        <v>42704</v>
      </c>
      <c r="D108">
        <v>763.34</v>
      </c>
      <c r="E108">
        <v>110085967</v>
      </c>
    </row>
    <row r="109" spans="1:5" x14ac:dyDescent="0.45">
      <c r="A109" t="s">
        <v>67</v>
      </c>
      <c r="B109" t="s">
        <v>52</v>
      </c>
      <c r="C109" s="1">
        <v>42734</v>
      </c>
      <c r="D109">
        <v>763.33</v>
      </c>
      <c r="E109">
        <v>73660584</v>
      </c>
    </row>
    <row r="110" spans="1:5" x14ac:dyDescent="0.45">
      <c r="A110" t="s">
        <v>67</v>
      </c>
      <c r="B110" t="s">
        <v>53</v>
      </c>
      <c r="C110" s="1">
        <v>42766</v>
      </c>
      <c r="D110">
        <v>807.5</v>
      </c>
      <c r="E110">
        <v>70714587</v>
      </c>
    </row>
    <row r="111" spans="1:5" x14ac:dyDescent="0.45">
      <c r="A111" t="s">
        <v>67</v>
      </c>
      <c r="B111" t="s">
        <v>54</v>
      </c>
      <c r="C111" s="1">
        <v>42794</v>
      </c>
      <c r="D111">
        <v>835.75</v>
      </c>
      <c r="E111">
        <v>71748231</v>
      </c>
    </row>
    <row r="112" spans="1:5" x14ac:dyDescent="0.45">
      <c r="A112" t="s">
        <v>67</v>
      </c>
      <c r="B112" t="s">
        <v>55</v>
      </c>
      <c r="C112" s="1">
        <v>42825</v>
      </c>
      <c r="D112">
        <v>854.24</v>
      </c>
      <c r="E112">
        <v>60722752</v>
      </c>
    </row>
    <row r="113" spans="1:5" x14ac:dyDescent="0.45">
      <c r="A113" t="s">
        <v>67</v>
      </c>
      <c r="B113" t="s">
        <v>56</v>
      </c>
      <c r="C113" s="1">
        <v>42853</v>
      </c>
      <c r="D113">
        <v>903.39</v>
      </c>
      <c r="E113">
        <v>73536345</v>
      </c>
    </row>
    <row r="114" spans="1:5" x14ac:dyDescent="0.45">
      <c r="A114" t="s">
        <v>67</v>
      </c>
      <c r="B114" t="s">
        <v>57</v>
      </c>
      <c r="C114" s="1">
        <v>42886</v>
      </c>
      <c r="D114">
        <v>961.72</v>
      </c>
      <c r="E114">
        <v>76219049</v>
      </c>
    </row>
    <row r="115" spans="1:5" x14ac:dyDescent="0.45">
      <c r="A115" t="s">
        <v>67</v>
      </c>
      <c r="B115" t="s">
        <v>58</v>
      </c>
      <c r="C115" s="1">
        <v>42916</v>
      </c>
      <c r="D115">
        <v>990.44</v>
      </c>
      <c r="E115">
        <v>96135434</v>
      </c>
    </row>
    <row r="116" spans="1:5" x14ac:dyDescent="0.45">
      <c r="A116" t="s">
        <v>67</v>
      </c>
      <c r="B116" t="s">
        <v>59</v>
      </c>
      <c r="C116" s="1">
        <v>42947</v>
      </c>
      <c r="D116">
        <v>1008.48</v>
      </c>
      <c r="E116">
        <v>78812208</v>
      </c>
    </row>
    <row r="117" spans="1:5" x14ac:dyDescent="0.45">
      <c r="A117" t="s">
        <v>67</v>
      </c>
      <c r="B117" t="s">
        <v>60</v>
      </c>
      <c r="C117" s="1">
        <v>42978</v>
      </c>
      <c r="D117">
        <v>971.27</v>
      </c>
      <c r="E117">
        <v>75469512</v>
      </c>
    </row>
    <row r="118" spans="1:5" x14ac:dyDescent="0.45">
      <c r="A118" t="s">
        <v>67</v>
      </c>
      <c r="B118" t="s">
        <v>61</v>
      </c>
      <c r="C118" s="1">
        <v>43007</v>
      </c>
      <c r="D118">
        <v>968.99</v>
      </c>
      <c r="E118">
        <v>59407011</v>
      </c>
    </row>
    <row r="119" spans="1:5" x14ac:dyDescent="0.45">
      <c r="A119" t="s">
        <v>67</v>
      </c>
      <c r="B119" t="s">
        <v>62</v>
      </c>
      <c r="C119" s="1">
        <v>43039</v>
      </c>
      <c r="D119">
        <v>1000.72</v>
      </c>
      <c r="E119">
        <v>83334078</v>
      </c>
    </row>
    <row r="120" spans="1:5" x14ac:dyDescent="0.45">
      <c r="A120" t="s">
        <v>67</v>
      </c>
      <c r="B120" t="s">
        <v>63</v>
      </c>
      <c r="C120" s="1">
        <v>43069</v>
      </c>
      <c r="D120">
        <v>1139.81</v>
      </c>
      <c r="E120">
        <v>77158146</v>
      </c>
    </row>
    <row r="121" spans="1:5" x14ac:dyDescent="0.45">
      <c r="A121" t="s">
        <v>67</v>
      </c>
      <c r="B121" t="s">
        <v>64</v>
      </c>
      <c r="C121" s="1">
        <v>43098</v>
      </c>
      <c r="D121">
        <v>1168.8399999999999</v>
      </c>
      <c r="E121">
        <v>57760041</v>
      </c>
    </row>
    <row r="122" spans="1:5" x14ac:dyDescent="0.45">
      <c r="A122" t="s">
        <v>67</v>
      </c>
      <c r="B122" t="s">
        <v>65</v>
      </c>
      <c r="C122" s="1">
        <v>43131</v>
      </c>
      <c r="D122">
        <v>1309.01</v>
      </c>
      <c r="E122">
        <v>96371290</v>
      </c>
    </row>
    <row r="123" spans="1:5" x14ac:dyDescent="0.45">
      <c r="A123" t="s">
        <v>67</v>
      </c>
      <c r="B123" t="s">
        <v>66</v>
      </c>
      <c r="C123" s="1">
        <v>43138</v>
      </c>
      <c r="D123">
        <v>1413.91</v>
      </c>
      <c r="E123">
        <v>49964075</v>
      </c>
    </row>
    <row r="124" spans="1:5" x14ac:dyDescent="0.45">
      <c r="A124" t="s">
        <v>68</v>
      </c>
      <c r="B124" t="s">
        <v>6</v>
      </c>
      <c r="C124" s="1">
        <v>41333</v>
      </c>
      <c r="D124">
        <v>396.41</v>
      </c>
      <c r="E124">
        <v>65459775</v>
      </c>
    </row>
    <row r="125" spans="1:5" x14ac:dyDescent="0.45">
      <c r="A125" t="s">
        <v>68</v>
      </c>
      <c r="B125" t="s">
        <v>7</v>
      </c>
      <c r="C125" s="1">
        <v>41361</v>
      </c>
      <c r="D125">
        <v>409.4</v>
      </c>
      <c r="E125">
        <v>84974690</v>
      </c>
    </row>
    <row r="126" spans="1:5" x14ac:dyDescent="0.45">
      <c r="A126" t="s">
        <v>68</v>
      </c>
      <c r="B126" t="s">
        <v>8</v>
      </c>
      <c r="C126" s="1">
        <v>41394</v>
      </c>
      <c r="D126">
        <v>398.6</v>
      </c>
      <c r="E126">
        <v>106953258</v>
      </c>
    </row>
    <row r="127" spans="1:5" x14ac:dyDescent="0.45">
      <c r="A127" t="s">
        <v>68</v>
      </c>
      <c r="B127" t="s">
        <v>9</v>
      </c>
      <c r="C127" s="1">
        <v>41425</v>
      </c>
      <c r="D127">
        <v>438.76</v>
      </c>
      <c r="E127">
        <v>98725879</v>
      </c>
    </row>
    <row r="128" spans="1:5" x14ac:dyDescent="0.45">
      <c r="A128" t="s">
        <v>68</v>
      </c>
      <c r="B128" t="s">
        <v>10</v>
      </c>
      <c r="C128" s="1">
        <v>41453</v>
      </c>
      <c r="D128">
        <v>439.07</v>
      </c>
      <c r="E128">
        <v>97058586</v>
      </c>
    </row>
    <row r="129" spans="1:5" x14ac:dyDescent="0.45">
      <c r="A129" t="s">
        <v>68</v>
      </c>
      <c r="B129" t="s">
        <v>11</v>
      </c>
      <c r="C129" s="1">
        <v>41486</v>
      </c>
      <c r="D129">
        <v>451.16</v>
      </c>
      <c r="E129">
        <v>102299538</v>
      </c>
    </row>
    <row r="130" spans="1:5" x14ac:dyDescent="0.45">
      <c r="A130" t="s">
        <v>68</v>
      </c>
      <c r="B130" t="s">
        <v>12</v>
      </c>
      <c r="C130" s="1">
        <v>41516</v>
      </c>
      <c r="D130">
        <v>437.96</v>
      </c>
      <c r="E130">
        <v>66701716</v>
      </c>
    </row>
    <row r="131" spans="1:5" x14ac:dyDescent="0.45">
      <c r="A131" t="s">
        <v>68</v>
      </c>
      <c r="B131" t="s">
        <v>13</v>
      </c>
      <c r="C131" s="1">
        <v>41547</v>
      </c>
      <c r="D131">
        <v>443.09</v>
      </c>
      <c r="E131">
        <v>66170753</v>
      </c>
    </row>
    <row r="132" spans="1:5" x14ac:dyDescent="0.45">
      <c r="A132" t="s">
        <v>68</v>
      </c>
      <c r="B132" t="s">
        <v>14</v>
      </c>
      <c r="C132" s="1">
        <v>41578</v>
      </c>
      <c r="D132">
        <v>469.82</v>
      </c>
      <c r="E132">
        <v>110465417</v>
      </c>
    </row>
    <row r="133" spans="1:5" x14ac:dyDescent="0.45">
      <c r="A133" t="s">
        <v>68</v>
      </c>
      <c r="B133" t="s">
        <v>15</v>
      </c>
      <c r="C133" s="1">
        <v>41607</v>
      </c>
      <c r="D133">
        <v>515.94000000000005</v>
      </c>
      <c r="E133">
        <v>52500560</v>
      </c>
    </row>
    <row r="134" spans="1:5" x14ac:dyDescent="0.45">
      <c r="A134" t="s">
        <v>68</v>
      </c>
      <c r="B134" t="s">
        <v>16</v>
      </c>
      <c r="C134" s="1">
        <v>41639</v>
      </c>
      <c r="D134">
        <v>542.72</v>
      </c>
      <c r="E134">
        <v>67688720</v>
      </c>
    </row>
    <row r="135" spans="1:5" x14ac:dyDescent="0.45">
      <c r="A135" t="s">
        <v>68</v>
      </c>
      <c r="B135" t="s">
        <v>17</v>
      </c>
      <c r="C135" s="1">
        <v>41670</v>
      </c>
      <c r="D135">
        <v>568.76</v>
      </c>
      <c r="E135">
        <v>109371542</v>
      </c>
    </row>
    <row r="136" spans="1:5" x14ac:dyDescent="0.45">
      <c r="A136" t="s">
        <v>68</v>
      </c>
      <c r="B136" t="s">
        <v>18</v>
      </c>
      <c r="C136" s="1">
        <v>41698</v>
      </c>
      <c r="D136">
        <v>595.67999999999995</v>
      </c>
      <c r="E136">
        <v>81205209</v>
      </c>
    </row>
    <row r="137" spans="1:5" x14ac:dyDescent="0.45">
      <c r="A137" t="s">
        <v>68</v>
      </c>
      <c r="B137" t="s">
        <v>19</v>
      </c>
      <c r="C137" s="1">
        <v>41729</v>
      </c>
      <c r="D137">
        <v>591.80999999999995</v>
      </c>
      <c r="E137">
        <v>87310302</v>
      </c>
    </row>
    <row r="138" spans="1:5" x14ac:dyDescent="0.45">
      <c r="A138" t="s">
        <v>68</v>
      </c>
      <c r="B138" t="s">
        <v>20</v>
      </c>
      <c r="C138" s="1">
        <v>41759</v>
      </c>
      <c r="D138">
        <v>546.55999999999995</v>
      </c>
      <c r="E138">
        <v>71103076</v>
      </c>
    </row>
    <row r="139" spans="1:5" x14ac:dyDescent="0.45">
      <c r="A139" t="s">
        <v>68</v>
      </c>
      <c r="B139" t="s">
        <v>21</v>
      </c>
      <c r="C139" s="1">
        <v>41789</v>
      </c>
      <c r="D139">
        <v>542.98</v>
      </c>
      <c r="E139">
        <v>41468153</v>
      </c>
    </row>
    <row r="140" spans="1:5" x14ac:dyDescent="0.45">
      <c r="A140" t="s">
        <v>68</v>
      </c>
      <c r="B140" t="s">
        <v>22</v>
      </c>
      <c r="C140" s="1">
        <v>41820</v>
      </c>
      <c r="D140">
        <v>567.28</v>
      </c>
      <c r="E140">
        <v>39512793</v>
      </c>
    </row>
    <row r="141" spans="1:5" x14ac:dyDescent="0.45">
      <c r="A141" t="s">
        <v>68</v>
      </c>
      <c r="B141" t="s">
        <v>23</v>
      </c>
      <c r="C141" s="1">
        <v>41851</v>
      </c>
      <c r="D141">
        <v>592.49</v>
      </c>
      <c r="E141">
        <v>38614498</v>
      </c>
    </row>
    <row r="142" spans="1:5" x14ac:dyDescent="0.45">
      <c r="A142" t="s">
        <v>68</v>
      </c>
      <c r="B142" t="s">
        <v>24</v>
      </c>
      <c r="C142" s="1">
        <v>41880</v>
      </c>
      <c r="D142">
        <v>583.34</v>
      </c>
      <c r="E142">
        <v>29112906</v>
      </c>
    </row>
    <row r="143" spans="1:5" x14ac:dyDescent="0.45">
      <c r="A143" t="s">
        <v>68</v>
      </c>
      <c r="B143" t="s">
        <v>25</v>
      </c>
      <c r="C143" s="1">
        <v>41912</v>
      </c>
      <c r="D143">
        <v>592.13</v>
      </c>
      <c r="E143">
        <v>35464420</v>
      </c>
    </row>
    <row r="144" spans="1:5" x14ac:dyDescent="0.45">
      <c r="A144" t="s">
        <v>68</v>
      </c>
      <c r="B144" t="s">
        <v>26</v>
      </c>
      <c r="C144" s="1">
        <v>41943</v>
      </c>
      <c r="D144">
        <v>557.54</v>
      </c>
      <c r="E144">
        <v>55503010</v>
      </c>
    </row>
    <row r="145" spans="1:5" x14ac:dyDescent="0.45">
      <c r="A145" t="s">
        <v>68</v>
      </c>
      <c r="B145" t="s">
        <v>27</v>
      </c>
      <c r="C145" s="1">
        <v>41971</v>
      </c>
      <c r="D145">
        <v>552.54</v>
      </c>
      <c r="E145">
        <v>29775322</v>
      </c>
    </row>
    <row r="146" spans="1:5" x14ac:dyDescent="0.45">
      <c r="A146" t="s">
        <v>68</v>
      </c>
      <c r="B146" t="s">
        <v>28</v>
      </c>
      <c r="C146" s="1">
        <v>42004</v>
      </c>
      <c r="D146">
        <v>529.19000000000005</v>
      </c>
      <c r="E146">
        <v>54469614</v>
      </c>
    </row>
    <row r="147" spans="1:5" x14ac:dyDescent="0.45">
      <c r="A147" t="s">
        <v>68</v>
      </c>
      <c r="B147" t="s">
        <v>29</v>
      </c>
      <c r="C147" s="1">
        <v>42034</v>
      </c>
      <c r="D147">
        <v>515.91999999999996</v>
      </c>
      <c r="E147">
        <v>52878131</v>
      </c>
    </row>
    <row r="148" spans="1:5" x14ac:dyDescent="0.45">
      <c r="A148" t="s">
        <v>68</v>
      </c>
      <c r="B148" t="s">
        <v>30</v>
      </c>
      <c r="C148" s="1">
        <v>42062</v>
      </c>
      <c r="D148">
        <v>540.99</v>
      </c>
      <c r="E148">
        <v>40420326</v>
      </c>
    </row>
    <row r="149" spans="1:5" x14ac:dyDescent="0.45">
      <c r="A149" t="s">
        <v>68</v>
      </c>
      <c r="B149" t="s">
        <v>31</v>
      </c>
      <c r="C149" s="1">
        <v>42094</v>
      </c>
      <c r="D149">
        <v>565.97</v>
      </c>
      <c r="E149">
        <v>43207344</v>
      </c>
    </row>
    <row r="150" spans="1:5" x14ac:dyDescent="0.45">
      <c r="A150" t="s">
        <v>68</v>
      </c>
      <c r="B150" t="s">
        <v>32</v>
      </c>
      <c r="C150" s="1">
        <v>42124</v>
      </c>
      <c r="D150">
        <v>549.48</v>
      </c>
      <c r="E150">
        <v>43746541</v>
      </c>
    </row>
    <row r="151" spans="1:5" x14ac:dyDescent="0.45">
      <c r="A151" t="s">
        <v>68</v>
      </c>
      <c r="B151" t="s">
        <v>33</v>
      </c>
      <c r="C151" s="1">
        <v>42153</v>
      </c>
      <c r="D151">
        <v>547.67999999999995</v>
      </c>
      <c r="E151">
        <v>32421761</v>
      </c>
    </row>
    <row r="152" spans="1:5" x14ac:dyDescent="0.45">
      <c r="A152" t="s">
        <v>68</v>
      </c>
      <c r="B152" t="s">
        <v>34</v>
      </c>
      <c r="C152" s="1">
        <v>42185</v>
      </c>
      <c r="D152">
        <v>550.79999999999995</v>
      </c>
      <c r="E152">
        <v>35218182</v>
      </c>
    </row>
    <row r="153" spans="1:5" x14ac:dyDescent="0.45">
      <c r="A153" t="s">
        <v>68</v>
      </c>
      <c r="B153" t="s">
        <v>35</v>
      </c>
      <c r="C153" s="1">
        <v>42216</v>
      </c>
      <c r="D153">
        <v>617.47</v>
      </c>
      <c r="E153">
        <v>68543766</v>
      </c>
    </row>
    <row r="154" spans="1:5" x14ac:dyDescent="0.45">
      <c r="A154" t="s">
        <v>68</v>
      </c>
      <c r="B154" t="s">
        <v>36</v>
      </c>
      <c r="C154" s="1">
        <v>42247</v>
      </c>
      <c r="D154">
        <v>667.66</v>
      </c>
      <c r="E154">
        <v>55354533</v>
      </c>
    </row>
    <row r="155" spans="1:5" x14ac:dyDescent="0.45">
      <c r="A155" t="s">
        <v>68</v>
      </c>
      <c r="B155" t="s">
        <v>37</v>
      </c>
      <c r="C155" s="1">
        <v>42277</v>
      </c>
      <c r="D155">
        <v>647.79</v>
      </c>
      <c r="E155">
        <v>43576732</v>
      </c>
    </row>
    <row r="156" spans="1:5" x14ac:dyDescent="0.45">
      <c r="A156" t="s">
        <v>68</v>
      </c>
      <c r="B156" t="s">
        <v>38</v>
      </c>
      <c r="C156" s="1">
        <v>42307</v>
      </c>
      <c r="D156">
        <v>691.56</v>
      </c>
      <c r="E156">
        <v>50293840</v>
      </c>
    </row>
    <row r="157" spans="1:5" x14ac:dyDescent="0.45">
      <c r="A157" t="s">
        <v>68</v>
      </c>
      <c r="B157" t="s">
        <v>39</v>
      </c>
      <c r="C157" s="1">
        <v>42338</v>
      </c>
      <c r="D157">
        <v>759.64</v>
      </c>
      <c r="E157">
        <v>37577419</v>
      </c>
    </row>
    <row r="158" spans="1:5" x14ac:dyDescent="0.45">
      <c r="A158" t="s">
        <v>68</v>
      </c>
      <c r="B158" t="s">
        <v>40</v>
      </c>
      <c r="C158" s="1">
        <v>42369</v>
      </c>
      <c r="D158">
        <v>771.04</v>
      </c>
      <c r="E158">
        <v>43650531</v>
      </c>
    </row>
    <row r="159" spans="1:5" x14ac:dyDescent="0.45">
      <c r="A159" t="s">
        <v>68</v>
      </c>
      <c r="B159" t="s">
        <v>41</v>
      </c>
      <c r="C159" s="1">
        <v>42398</v>
      </c>
      <c r="D159">
        <v>736.66</v>
      </c>
      <c r="E159">
        <v>51999240</v>
      </c>
    </row>
    <row r="160" spans="1:5" x14ac:dyDescent="0.45">
      <c r="A160" t="s">
        <v>68</v>
      </c>
      <c r="B160" t="s">
        <v>42</v>
      </c>
      <c r="C160" s="1">
        <v>42429</v>
      </c>
      <c r="D160">
        <v>724.39</v>
      </c>
      <c r="E160">
        <v>67647477</v>
      </c>
    </row>
    <row r="161" spans="1:5" x14ac:dyDescent="0.45">
      <c r="A161" t="s">
        <v>68</v>
      </c>
      <c r="B161" t="s">
        <v>43</v>
      </c>
      <c r="C161" s="1">
        <v>42460</v>
      </c>
      <c r="D161">
        <v>746.79</v>
      </c>
      <c r="E161">
        <v>42669656</v>
      </c>
    </row>
    <row r="162" spans="1:5" x14ac:dyDescent="0.45">
      <c r="A162" t="s">
        <v>68</v>
      </c>
      <c r="B162" t="s">
        <v>44</v>
      </c>
      <c r="C162" s="1">
        <v>42489</v>
      </c>
      <c r="D162">
        <v>756.61</v>
      </c>
      <c r="E162">
        <v>46661769</v>
      </c>
    </row>
    <row r="163" spans="1:5" x14ac:dyDescent="0.45">
      <c r="A163" t="s">
        <v>68</v>
      </c>
      <c r="B163" t="s">
        <v>45</v>
      </c>
      <c r="C163" s="1">
        <v>42521</v>
      </c>
      <c r="D163">
        <v>726.53</v>
      </c>
      <c r="E163">
        <v>34108232</v>
      </c>
    </row>
    <row r="164" spans="1:5" x14ac:dyDescent="0.45">
      <c r="A164" t="s">
        <v>68</v>
      </c>
      <c r="B164" t="s">
        <v>46</v>
      </c>
      <c r="C164" s="1">
        <v>42551</v>
      </c>
      <c r="D164">
        <v>719.59</v>
      </c>
      <c r="E164">
        <v>41979195</v>
      </c>
    </row>
    <row r="165" spans="1:5" x14ac:dyDescent="0.45">
      <c r="A165" t="s">
        <v>68</v>
      </c>
      <c r="B165" t="s">
        <v>47</v>
      </c>
      <c r="C165" s="1">
        <v>42580</v>
      </c>
      <c r="D165">
        <v>741.07</v>
      </c>
      <c r="E165">
        <v>32667502</v>
      </c>
    </row>
    <row r="166" spans="1:5" x14ac:dyDescent="0.45">
      <c r="A166" t="s">
        <v>68</v>
      </c>
      <c r="B166" t="s">
        <v>48</v>
      </c>
      <c r="C166" s="1">
        <v>42613</v>
      </c>
      <c r="D166">
        <v>800.21</v>
      </c>
      <c r="E166">
        <v>28857075</v>
      </c>
    </row>
    <row r="167" spans="1:5" x14ac:dyDescent="0.45">
      <c r="A167" t="s">
        <v>68</v>
      </c>
      <c r="B167" t="s">
        <v>49</v>
      </c>
      <c r="C167" s="1">
        <v>42643</v>
      </c>
      <c r="D167">
        <v>801.62</v>
      </c>
      <c r="E167">
        <v>31576994</v>
      </c>
    </row>
    <row r="168" spans="1:5" x14ac:dyDescent="0.45">
      <c r="A168" t="s">
        <v>68</v>
      </c>
      <c r="B168" t="s">
        <v>50</v>
      </c>
      <c r="C168" s="1">
        <v>42674</v>
      </c>
      <c r="D168">
        <v>813.65</v>
      </c>
      <c r="E168">
        <v>35391730</v>
      </c>
    </row>
    <row r="169" spans="1:5" x14ac:dyDescent="0.45">
      <c r="A169" t="s">
        <v>68</v>
      </c>
      <c r="B169" t="s">
        <v>51</v>
      </c>
      <c r="C169" s="1">
        <v>42704</v>
      </c>
      <c r="D169">
        <v>784.74</v>
      </c>
      <c r="E169">
        <v>48353316</v>
      </c>
    </row>
    <row r="170" spans="1:5" x14ac:dyDescent="0.45">
      <c r="A170" t="s">
        <v>68</v>
      </c>
      <c r="B170" t="s">
        <v>52</v>
      </c>
      <c r="C170" s="1">
        <v>42734</v>
      </c>
      <c r="D170">
        <v>800.62</v>
      </c>
      <c r="E170">
        <v>34356689</v>
      </c>
    </row>
    <row r="171" spans="1:5" x14ac:dyDescent="0.45">
      <c r="A171" t="s">
        <v>68</v>
      </c>
      <c r="B171" t="s">
        <v>53</v>
      </c>
      <c r="C171" s="1">
        <v>42766</v>
      </c>
      <c r="D171">
        <v>830.25</v>
      </c>
      <c r="E171">
        <v>36840255</v>
      </c>
    </row>
    <row r="172" spans="1:5" x14ac:dyDescent="0.45">
      <c r="A172" t="s">
        <v>68</v>
      </c>
      <c r="B172" t="s">
        <v>54</v>
      </c>
      <c r="C172" s="1">
        <v>42794</v>
      </c>
      <c r="D172">
        <v>836.75</v>
      </c>
      <c r="E172">
        <v>26492197</v>
      </c>
    </row>
    <row r="173" spans="1:5" x14ac:dyDescent="0.45">
      <c r="A173" t="s">
        <v>68</v>
      </c>
      <c r="B173" t="s">
        <v>55</v>
      </c>
      <c r="C173" s="1">
        <v>42825</v>
      </c>
      <c r="D173">
        <v>853.79</v>
      </c>
      <c r="E173">
        <v>34553208</v>
      </c>
    </row>
    <row r="174" spans="1:5" x14ac:dyDescent="0.45">
      <c r="A174" t="s">
        <v>68</v>
      </c>
      <c r="B174" t="s">
        <v>56</v>
      </c>
      <c r="C174" s="1">
        <v>42853</v>
      </c>
      <c r="D174">
        <v>861.38</v>
      </c>
      <c r="E174">
        <v>28720347</v>
      </c>
    </row>
    <row r="175" spans="1:5" x14ac:dyDescent="0.45">
      <c r="A175" t="s">
        <v>68</v>
      </c>
      <c r="B175" t="s">
        <v>57</v>
      </c>
      <c r="C175" s="1">
        <v>42886</v>
      </c>
      <c r="D175">
        <v>961.65</v>
      </c>
      <c r="E175">
        <v>35369895</v>
      </c>
    </row>
    <row r="176" spans="1:5" x14ac:dyDescent="0.45">
      <c r="A176" t="s">
        <v>68</v>
      </c>
      <c r="B176" t="s">
        <v>58</v>
      </c>
      <c r="C176" s="1">
        <v>42916</v>
      </c>
      <c r="D176">
        <v>973.37</v>
      </c>
      <c r="E176">
        <v>44085169</v>
      </c>
    </row>
    <row r="177" spans="1:5" x14ac:dyDescent="0.45">
      <c r="A177" t="s">
        <v>68</v>
      </c>
      <c r="B177" t="s">
        <v>59</v>
      </c>
      <c r="C177" s="1">
        <v>42947</v>
      </c>
      <c r="D177">
        <v>963.44</v>
      </c>
      <c r="E177">
        <v>41918520</v>
      </c>
    </row>
    <row r="178" spans="1:5" x14ac:dyDescent="0.45">
      <c r="A178" t="s">
        <v>68</v>
      </c>
      <c r="B178" t="s">
        <v>60</v>
      </c>
      <c r="C178" s="1">
        <v>42978</v>
      </c>
      <c r="D178">
        <v>937.96</v>
      </c>
      <c r="E178">
        <v>32775901</v>
      </c>
    </row>
    <row r="179" spans="1:5" x14ac:dyDescent="0.45">
      <c r="A179" t="s">
        <v>68</v>
      </c>
      <c r="B179" t="s">
        <v>61</v>
      </c>
      <c r="C179" s="1">
        <v>43007</v>
      </c>
      <c r="D179">
        <v>945.88</v>
      </c>
      <c r="E179">
        <v>29629581</v>
      </c>
    </row>
    <row r="180" spans="1:5" x14ac:dyDescent="0.45">
      <c r="A180" t="s">
        <v>68</v>
      </c>
      <c r="B180" t="s">
        <v>62</v>
      </c>
      <c r="C180" s="1">
        <v>43039</v>
      </c>
      <c r="D180">
        <v>999.14</v>
      </c>
      <c r="E180">
        <v>36854619</v>
      </c>
    </row>
    <row r="181" spans="1:5" x14ac:dyDescent="0.45">
      <c r="A181" t="s">
        <v>68</v>
      </c>
      <c r="B181" t="s">
        <v>63</v>
      </c>
      <c r="C181" s="1">
        <v>43069</v>
      </c>
      <c r="D181">
        <v>1046.98</v>
      </c>
      <c r="E181">
        <v>28685070</v>
      </c>
    </row>
    <row r="182" spans="1:5" x14ac:dyDescent="0.45">
      <c r="A182" t="s">
        <v>68</v>
      </c>
      <c r="B182" t="s">
        <v>64</v>
      </c>
      <c r="C182" s="1">
        <v>43098</v>
      </c>
      <c r="D182">
        <v>1053.92</v>
      </c>
      <c r="E182">
        <v>29940571</v>
      </c>
    </row>
    <row r="183" spans="1:5" x14ac:dyDescent="0.45">
      <c r="A183" t="s">
        <v>68</v>
      </c>
      <c r="B183" t="s">
        <v>65</v>
      </c>
      <c r="C183" s="1">
        <v>43131</v>
      </c>
      <c r="D183">
        <v>1139.3900000000001</v>
      </c>
      <c r="E183">
        <v>32887413</v>
      </c>
    </row>
    <row r="184" spans="1:5" x14ac:dyDescent="0.45">
      <c r="A184" t="s">
        <v>68</v>
      </c>
      <c r="B184" t="s">
        <v>66</v>
      </c>
      <c r="C184" s="1">
        <v>43138</v>
      </c>
      <c r="D184">
        <v>1100.5999999999999</v>
      </c>
      <c r="E184">
        <v>20173918</v>
      </c>
    </row>
    <row r="185" spans="1:5" x14ac:dyDescent="0.45">
      <c r="A185" t="s">
        <v>69</v>
      </c>
      <c r="B185" t="s">
        <v>6</v>
      </c>
      <c r="C185" s="1">
        <v>41333</v>
      </c>
      <c r="D185">
        <v>200.1</v>
      </c>
      <c r="E185">
        <v>47248090</v>
      </c>
    </row>
    <row r="186" spans="1:5" x14ac:dyDescent="0.45">
      <c r="A186" t="s">
        <v>69</v>
      </c>
      <c r="B186" t="s">
        <v>7</v>
      </c>
      <c r="C186" s="1">
        <v>41361</v>
      </c>
      <c r="D186">
        <v>210.98</v>
      </c>
      <c r="E186">
        <v>76013907</v>
      </c>
    </row>
    <row r="187" spans="1:5" x14ac:dyDescent="0.45">
      <c r="A187" t="s">
        <v>69</v>
      </c>
      <c r="B187" t="s">
        <v>8</v>
      </c>
      <c r="C187" s="1">
        <v>41394</v>
      </c>
      <c r="D187">
        <v>204.73</v>
      </c>
      <c r="E187">
        <v>108646850</v>
      </c>
    </row>
    <row r="188" spans="1:5" x14ac:dyDescent="0.45">
      <c r="A188" t="s">
        <v>69</v>
      </c>
      <c r="B188" t="s">
        <v>9</v>
      </c>
      <c r="C188" s="1">
        <v>41425</v>
      </c>
      <c r="D188">
        <v>205.26</v>
      </c>
      <c r="E188">
        <v>90664730</v>
      </c>
    </row>
    <row r="189" spans="1:5" x14ac:dyDescent="0.45">
      <c r="A189" t="s">
        <v>69</v>
      </c>
      <c r="B189" t="s">
        <v>10</v>
      </c>
      <c r="C189" s="1">
        <v>41453</v>
      </c>
      <c r="D189">
        <v>200.85</v>
      </c>
      <c r="E189">
        <v>80225486</v>
      </c>
    </row>
    <row r="190" spans="1:5" x14ac:dyDescent="0.45">
      <c r="A190" t="s">
        <v>69</v>
      </c>
      <c r="B190" t="s">
        <v>11</v>
      </c>
      <c r="C190" s="1">
        <v>41486</v>
      </c>
      <c r="D190">
        <v>194.35</v>
      </c>
      <c r="E190">
        <v>88104036</v>
      </c>
    </row>
    <row r="191" spans="1:5" x14ac:dyDescent="0.45">
      <c r="A191" t="s">
        <v>69</v>
      </c>
      <c r="B191" t="s">
        <v>12</v>
      </c>
      <c r="C191" s="1">
        <v>41516</v>
      </c>
      <c r="D191">
        <v>187.13</v>
      </c>
      <c r="E191">
        <v>73080837</v>
      </c>
    </row>
    <row r="192" spans="1:5" x14ac:dyDescent="0.45">
      <c r="A192" t="s">
        <v>69</v>
      </c>
      <c r="B192" t="s">
        <v>13</v>
      </c>
      <c r="C192" s="1">
        <v>41547</v>
      </c>
      <c r="D192">
        <v>188.77</v>
      </c>
      <c r="E192">
        <v>71425361</v>
      </c>
    </row>
    <row r="193" spans="1:5" x14ac:dyDescent="0.45">
      <c r="A193" t="s">
        <v>69</v>
      </c>
      <c r="B193" t="s">
        <v>14</v>
      </c>
      <c r="C193" s="1">
        <v>41578</v>
      </c>
      <c r="D193">
        <v>180.71</v>
      </c>
      <c r="E193">
        <v>130871916</v>
      </c>
    </row>
    <row r="194" spans="1:5" x14ac:dyDescent="0.45">
      <c r="A194" t="s">
        <v>69</v>
      </c>
      <c r="B194" t="s">
        <v>15</v>
      </c>
      <c r="C194" s="1">
        <v>41607</v>
      </c>
      <c r="D194">
        <v>181.33</v>
      </c>
      <c r="E194">
        <v>100998091</v>
      </c>
    </row>
    <row r="195" spans="1:5" x14ac:dyDescent="0.45">
      <c r="A195" t="s">
        <v>69</v>
      </c>
      <c r="B195" t="s">
        <v>16</v>
      </c>
      <c r="C195" s="1">
        <v>41639</v>
      </c>
      <c r="D195">
        <v>179.11</v>
      </c>
      <c r="E195">
        <v>98015900</v>
      </c>
    </row>
    <row r="196" spans="1:5" x14ac:dyDescent="0.45">
      <c r="A196" t="s">
        <v>69</v>
      </c>
      <c r="B196" t="s">
        <v>17</v>
      </c>
      <c r="C196" s="1">
        <v>41670</v>
      </c>
      <c r="D196">
        <v>184.07</v>
      </c>
      <c r="E196">
        <v>123649280</v>
      </c>
    </row>
    <row r="197" spans="1:5" x14ac:dyDescent="0.45">
      <c r="A197" t="s">
        <v>69</v>
      </c>
      <c r="B197" t="s">
        <v>18</v>
      </c>
      <c r="C197" s="1">
        <v>41698</v>
      </c>
      <c r="D197">
        <v>180.47</v>
      </c>
      <c r="E197">
        <v>87112654</v>
      </c>
    </row>
    <row r="198" spans="1:5" x14ac:dyDescent="0.45">
      <c r="A198" t="s">
        <v>69</v>
      </c>
      <c r="B198" t="s">
        <v>19</v>
      </c>
      <c r="C198" s="1">
        <v>41729</v>
      </c>
      <c r="D198">
        <v>187.58</v>
      </c>
      <c r="E198">
        <v>118992206</v>
      </c>
    </row>
    <row r="199" spans="1:5" x14ac:dyDescent="0.45">
      <c r="A199" t="s">
        <v>69</v>
      </c>
      <c r="B199" t="s">
        <v>20</v>
      </c>
      <c r="C199" s="1">
        <v>41759</v>
      </c>
      <c r="D199">
        <v>193.8</v>
      </c>
      <c r="E199">
        <v>118484498</v>
      </c>
    </row>
    <row r="200" spans="1:5" x14ac:dyDescent="0.45">
      <c r="A200" t="s">
        <v>69</v>
      </c>
      <c r="B200" t="s">
        <v>21</v>
      </c>
      <c r="C200" s="1">
        <v>41789</v>
      </c>
      <c r="D200">
        <v>187.97</v>
      </c>
      <c r="E200">
        <v>70040432</v>
      </c>
    </row>
    <row r="201" spans="1:5" x14ac:dyDescent="0.45">
      <c r="A201" t="s">
        <v>69</v>
      </c>
      <c r="B201" t="s">
        <v>22</v>
      </c>
      <c r="C201" s="1">
        <v>41820</v>
      </c>
      <c r="D201">
        <v>183.01</v>
      </c>
      <c r="E201">
        <v>78536258</v>
      </c>
    </row>
    <row r="202" spans="1:5" x14ac:dyDescent="0.45">
      <c r="A202" t="s">
        <v>69</v>
      </c>
      <c r="B202" t="s">
        <v>23</v>
      </c>
      <c r="C202" s="1">
        <v>41851</v>
      </c>
      <c r="D202">
        <v>191.03</v>
      </c>
      <c r="E202">
        <v>97623913</v>
      </c>
    </row>
    <row r="203" spans="1:5" x14ac:dyDescent="0.45">
      <c r="A203" t="s">
        <v>69</v>
      </c>
      <c r="B203" t="s">
        <v>24</v>
      </c>
      <c r="C203" s="1">
        <v>41880</v>
      </c>
      <c r="D203">
        <v>189.18</v>
      </c>
      <c r="E203">
        <v>53462263</v>
      </c>
    </row>
    <row r="204" spans="1:5" x14ac:dyDescent="0.45">
      <c r="A204" t="s">
        <v>69</v>
      </c>
      <c r="B204" t="s">
        <v>25</v>
      </c>
      <c r="C204" s="1">
        <v>41912</v>
      </c>
      <c r="D204">
        <v>191.35</v>
      </c>
      <c r="E204">
        <v>64985700</v>
      </c>
    </row>
    <row r="205" spans="1:5" x14ac:dyDescent="0.45">
      <c r="A205" t="s">
        <v>69</v>
      </c>
      <c r="B205" t="s">
        <v>26</v>
      </c>
      <c r="C205" s="1">
        <v>41943</v>
      </c>
      <c r="D205">
        <v>175.92</v>
      </c>
      <c r="E205">
        <v>146286082</v>
      </c>
    </row>
    <row r="206" spans="1:5" x14ac:dyDescent="0.45">
      <c r="A206" t="s">
        <v>69</v>
      </c>
      <c r="B206" t="s">
        <v>27</v>
      </c>
      <c r="C206" s="1">
        <v>41971</v>
      </c>
      <c r="D206">
        <v>162.37</v>
      </c>
      <c r="E206">
        <v>80023025</v>
      </c>
    </row>
    <row r="207" spans="1:5" x14ac:dyDescent="0.45">
      <c r="A207" t="s">
        <v>69</v>
      </c>
      <c r="B207" t="s">
        <v>28</v>
      </c>
      <c r="C207" s="1">
        <v>42004</v>
      </c>
      <c r="D207">
        <v>159.97</v>
      </c>
      <c r="E207">
        <v>101618769</v>
      </c>
    </row>
    <row r="208" spans="1:5" x14ac:dyDescent="0.45">
      <c r="A208" t="s">
        <v>69</v>
      </c>
      <c r="B208" t="s">
        <v>29</v>
      </c>
      <c r="C208" s="1">
        <v>42034</v>
      </c>
      <c r="D208">
        <v>156.08000000000001</v>
      </c>
      <c r="E208">
        <v>117419989</v>
      </c>
    </row>
    <row r="209" spans="1:5" x14ac:dyDescent="0.45">
      <c r="A209" t="s">
        <v>69</v>
      </c>
      <c r="B209" t="s">
        <v>30</v>
      </c>
      <c r="C209" s="1">
        <v>42062</v>
      </c>
      <c r="D209">
        <v>160.01</v>
      </c>
      <c r="E209">
        <v>77656864</v>
      </c>
    </row>
    <row r="210" spans="1:5" x14ac:dyDescent="0.45">
      <c r="A210" t="s">
        <v>69</v>
      </c>
      <c r="B210" t="s">
        <v>31</v>
      </c>
      <c r="C210" s="1">
        <v>42094</v>
      </c>
      <c r="D210">
        <v>159.81</v>
      </c>
      <c r="E210">
        <v>104911849</v>
      </c>
    </row>
    <row r="211" spans="1:5" x14ac:dyDescent="0.45">
      <c r="A211" t="s">
        <v>69</v>
      </c>
      <c r="B211" t="s">
        <v>32</v>
      </c>
      <c r="C211" s="1">
        <v>42124</v>
      </c>
      <c r="D211">
        <v>165.22</v>
      </c>
      <c r="E211">
        <v>93836029</v>
      </c>
    </row>
    <row r="212" spans="1:5" x14ac:dyDescent="0.45">
      <c r="A212" t="s">
        <v>69</v>
      </c>
      <c r="B212" t="s">
        <v>33</v>
      </c>
      <c r="C212" s="1">
        <v>42153</v>
      </c>
      <c r="D212">
        <v>172.25</v>
      </c>
      <c r="E212">
        <v>57929671</v>
      </c>
    </row>
    <row r="213" spans="1:5" x14ac:dyDescent="0.45">
      <c r="A213" t="s">
        <v>69</v>
      </c>
      <c r="B213" t="s">
        <v>34</v>
      </c>
      <c r="C213" s="1">
        <v>42185</v>
      </c>
      <c r="D213">
        <v>167.15</v>
      </c>
      <c r="E213">
        <v>80848189</v>
      </c>
    </row>
    <row r="214" spans="1:5" x14ac:dyDescent="0.45">
      <c r="A214" t="s">
        <v>69</v>
      </c>
      <c r="B214" t="s">
        <v>35</v>
      </c>
      <c r="C214" s="1">
        <v>42216</v>
      </c>
      <c r="D214">
        <v>164.75</v>
      </c>
      <c r="E214">
        <v>93854723</v>
      </c>
    </row>
    <row r="215" spans="1:5" x14ac:dyDescent="0.45">
      <c r="A215" t="s">
        <v>69</v>
      </c>
      <c r="B215" t="s">
        <v>36</v>
      </c>
      <c r="C215" s="1">
        <v>42247</v>
      </c>
      <c r="D215">
        <v>152.77000000000001</v>
      </c>
      <c r="E215">
        <v>93791994</v>
      </c>
    </row>
    <row r="216" spans="1:5" x14ac:dyDescent="0.45">
      <c r="A216" t="s">
        <v>69</v>
      </c>
      <c r="B216" t="s">
        <v>37</v>
      </c>
      <c r="C216" s="1">
        <v>42277</v>
      </c>
      <c r="D216">
        <v>145.36000000000001</v>
      </c>
      <c r="E216">
        <v>81813217</v>
      </c>
    </row>
    <row r="217" spans="1:5" x14ac:dyDescent="0.45">
      <c r="A217" t="s">
        <v>69</v>
      </c>
      <c r="B217" t="s">
        <v>38</v>
      </c>
      <c r="C217" s="1">
        <v>42307</v>
      </c>
      <c r="D217">
        <v>146.12</v>
      </c>
      <c r="E217">
        <v>120629541</v>
      </c>
    </row>
    <row r="218" spans="1:5" x14ac:dyDescent="0.45">
      <c r="A218" t="s">
        <v>69</v>
      </c>
      <c r="B218" t="s">
        <v>39</v>
      </c>
      <c r="C218" s="1">
        <v>42338</v>
      </c>
      <c r="D218">
        <v>137.21</v>
      </c>
      <c r="E218">
        <v>85437032</v>
      </c>
    </row>
    <row r="219" spans="1:5" x14ac:dyDescent="0.45">
      <c r="A219" t="s">
        <v>69</v>
      </c>
      <c r="B219" t="s">
        <v>40</v>
      </c>
      <c r="C219" s="1">
        <v>42369</v>
      </c>
      <c r="D219">
        <v>137.96</v>
      </c>
      <c r="E219">
        <v>97680542</v>
      </c>
    </row>
    <row r="220" spans="1:5" x14ac:dyDescent="0.45">
      <c r="A220" t="s">
        <v>69</v>
      </c>
      <c r="B220" t="s">
        <v>41</v>
      </c>
      <c r="C220" s="1">
        <v>42398</v>
      </c>
      <c r="D220">
        <v>128.41</v>
      </c>
      <c r="E220">
        <v>126232993</v>
      </c>
    </row>
    <row r="221" spans="1:5" x14ac:dyDescent="0.45">
      <c r="A221" t="s">
        <v>69</v>
      </c>
      <c r="B221" t="s">
        <v>42</v>
      </c>
      <c r="C221" s="1">
        <v>42429</v>
      </c>
      <c r="D221">
        <v>127.49</v>
      </c>
      <c r="E221">
        <v>106716049</v>
      </c>
    </row>
    <row r="222" spans="1:5" x14ac:dyDescent="0.45">
      <c r="A222" t="s">
        <v>69</v>
      </c>
      <c r="B222" t="s">
        <v>43</v>
      </c>
      <c r="C222" s="1">
        <v>42460</v>
      </c>
      <c r="D222">
        <v>143.66999999999999</v>
      </c>
      <c r="E222">
        <v>105746661</v>
      </c>
    </row>
    <row r="223" spans="1:5" x14ac:dyDescent="0.45">
      <c r="A223" t="s">
        <v>69</v>
      </c>
      <c r="B223" t="s">
        <v>44</v>
      </c>
      <c r="C223" s="1">
        <v>42489</v>
      </c>
      <c r="D223">
        <v>149.38</v>
      </c>
      <c r="E223">
        <v>94482439</v>
      </c>
    </row>
    <row r="224" spans="1:5" x14ac:dyDescent="0.45">
      <c r="A224" t="s">
        <v>69</v>
      </c>
      <c r="B224" t="s">
        <v>45</v>
      </c>
      <c r="C224" s="1">
        <v>42521</v>
      </c>
      <c r="D224">
        <v>148.24</v>
      </c>
      <c r="E224">
        <v>75251780</v>
      </c>
    </row>
    <row r="225" spans="1:5" x14ac:dyDescent="0.45">
      <c r="A225" t="s">
        <v>69</v>
      </c>
      <c r="B225" t="s">
        <v>46</v>
      </c>
      <c r="C225" s="1">
        <v>42551</v>
      </c>
      <c r="D225">
        <v>151.49</v>
      </c>
      <c r="E225">
        <v>77122391</v>
      </c>
    </row>
    <row r="226" spans="1:5" x14ac:dyDescent="0.45">
      <c r="A226" t="s">
        <v>69</v>
      </c>
      <c r="B226" t="s">
        <v>47</v>
      </c>
      <c r="C226" s="1">
        <v>42580</v>
      </c>
      <c r="D226">
        <v>158.29</v>
      </c>
      <c r="E226">
        <v>69955097</v>
      </c>
    </row>
    <row r="227" spans="1:5" x14ac:dyDescent="0.45">
      <c r="A227" t="s">
        <v>69</v>
      </c>
      <c r="B227" t="s">
        <v>48</v>
      </c>
      <c r="C227" s="1">
        <v>42613</v>
      </c>
      <c r="D227">
        <v>160.77000000000001</v>
      </c>
      <c r="E227">
        <v>69706627</v>
      </c>
    </row>
    <row r="228" spans="1:5" x14ac:dyDescent="0.45">
      <c r="A228" t="s">
        <v>69</v>
      </c>
      <c r="B228" t="s">
        <v>49</v>
      </c>
      <c r="C228" s="1">
        <v>42643</v>
      </c>
      <c r="D228">
        <v>156.91999999999999</v>
      </c>
      <c r="E228">
        <v>69953834</v>
      </c>
    </row>
    <row r="229" spans="1:5" x14ac:dyDescent="0.45">
      <c r="A229" t="s">
        <v>69</v>
      </c>
      <c r="B229" t="s">
        <v>50</v>
      </c>
      <c r="C229" s="1">
        <v>42674</v>
      </c>
      <c r="D229">
        <v>153.75</v>
      </c>
      <c r="E229">
        <v>78327202</v>
      </c>
    </row>
    <row r="230" spans="1:5" x14ac:dyDescent="0.45">
      <c r="A230" t="s">
        <v>69</v>
      </c>
      <c r="B230" t="s">
        <v>51</v>
      </c>
      <c r="C230" s="1">
        <v>42704</v>
      </c>
      <c r="D230">
        <v>158.76</v>
      </c>
      <c r="E230">
        <v>76342436</v>
      </c>
    </row>
    <row r="231" spans="1:5" x14ac:dyDescent="0.45">
      <c r="A231" t="s">
        <v>69</v>
      </c>
      <c r="B231" t="s">
        <v>52</v>
      </c>
      <c r="C231" s="1">
        <v>42734</v>
      </c>
      <c r="D231">
        <v>165.48</v>
      </c>
      <c r="E231">
        <v>69469943</v>
      </c>
    </row>
    <row r="232" spans="1:5" x14ac:dyDescent="0.45">
      <c r="A232" t="s">
        <v>69</v>
      </c>
      <c r="B232" t="s">
        <v>53</v>
      </c>
      <c r="C232" s="1">
        <v>42766</v>
      </c>
      <c r="D232">
        <v>170.72</v>
      </c>
      <c r="E232">
        <v>88764673</v>
      </c>
    </row>
    <row r="233" spans="1:5" x14ac:dyDescent="0.45">
      <c r="A233" t="s">
        <v>69</v>
      </c>
      <c r="B233" t="s">
        <v>54</v>
      </c>
      <c r="C233" s="1">
        <v>42794</v>
      </c>
      <c r="D233">
        <v>178.84</v>
      </c>
      <c r="E233">
        <v>59820784</v>
      </c>
    </row>
    <row r="234" spans="1:5" x14ac:dyDescent="0.45">
      <c r="A234" t="s">
        <v>69</v>
      </c>
      <c r="B234" t="s">
        <v>55</v>
      </c>
      <c r="C234" s="1">
        <v>42825</v>
      </c>
      <c r="D234">
        <v>176.61</v>
      </c>
      <c r="E234">
        <v>79480073</v>
      </c>
    </row>
    <row r="235" spans="1:5" x14ac:dyDescent="0.45">
      <c r="A235" t="s">
        <v>69</v>
      </c>
      <c r="B235" t="s">
        <v>56</v>
      </c>
      <c r="C235" s="1">
        <v>42853</v>
      </c>
      <c r="D235">
        <v>167.15</v>
      </c>
      <c r="E235">
        <v>100053430</v>
      </c>
    </row>
    <row r="236" spans="1:5" x14ac:dyDescent="0.45">
      <c r="A236" t="s">
        <v>69</v>
      </c>
      <c r="B236" t="s">
        <v>57</v>
      </c>
      <c r="C236" s="1">
        <v>42886</v>
      </c>
      <c r="D236">
        <v>153.37</v>
      </c>
      <c r="E236">
        <v>103330920</v>
      </c>
    </row>
    <row r="237" spans="1:5" x14ac:dyDescent="0.45">
      <c r="A237" t="s">
        <v>69</v>
      </c>
      <c r="B237" t="s">
        <v>58</v>
      </c>
      <c r="C237" s="1">
        <v>42916</v>
      </c>
      <c r="D237">
        <v>153.86000000000001</v>
      </c>
      <c r="E237">
        <v>83978157</v>
      </c>
    </row>
    <row r="238" spans="1:5" x14ac:dyDescent="0.45">
      <c r="A238" t="s">
        <v>69</v>
      </c>
      <c r="B238" t="s">
        <v>59</v>
      </c>
      <c r="C238" s="1">
        <v>42947</v>
      </c>
      <c r="D238">
        <v>150.18</v>
      </c>
      <c r="E238">
        <v>93293593</v>
      </c>
    </row>
    <row r="239" spans="1:5" x14ac:dyDescent="0.45">
      <c r="A239" t="s">
        <v>69</v>
      </c>
      <c r="B239" t="s">
        <v>60</v>
      </c>
      <c r="C239" s="1">
        <v>42978</v>
      </c>
      <c r="D239">
        <v>142.58000000000001</v>
      </c>
      <c r="E239">
        <v>79625330</v>
      </c>
    </row>
    <row r="240" spans="1:5" x14ac:dyDescent="0.45">
      <c r="A240" t="s">
        <v>69</v>
      </c>
      <c r="B240" t="s">
        <v>61</v>
      </c>
      <c r="C240" s="1">
        <v>43007</v>
      </c>
      <c r="D240">
        <v>144.87</v>
      </c>
      <c r="E240">
        <v>78298096</v>
      </c>
    </row>
    <row r="241" spans="1:5" x14ac:dyDescent="0.45">
      <c r="A241" t="s">
        <v>69</v>
      </c>
      <c r="B241" t="s">
        <v>62</v>
      </c>
      <c r="C241" s="1">
        <v>43039</v>
      </c>
      <c r="D241">
        <v>151.41999999999999</v>
      </c>
      <c r="E241">
        <v>123869332</v>
      </c>
    </row>
    <row r="242" spans="1:5" x14ac:dyDescent="0.45">
      <c r="A242" t="s">
        <v>69</v>
      </c>
      <c r="B242" t="s">
        <v>63</v>
      </c>
      <c r="C242" s="1">
        <v>43069</v>
      </c>
      <c r="D242">
        <v>151.08000000000001</v>
      </c>
      <c r="E242">
        <v>89775654</v>
      </c>
    </row>
    <row r="243" spans="1:5" x14ac:dyDescent="0.45">
      <c r="A243" t="s">
        <v>69</v>
      </c>
      <c r="B243" t="s">
        <v>64</v>
      </c>
      <c r="C243" s="1">
        <v>43098</v>
      </c>
      <c r="D243">
        <v>153.93</v>
      </c>
      <c r="E243">
        <v>88788538</v>
      </c>
    </row>
    <row r="244" spans="1:5" x14ac:dyDescent="0.45">
      <c r="A244" t="s">
        <v>69</v>
      </c>
      <c r="B244" t="s">
        <v>65</v>
      </c>
      <c r="C244" s="1">
        <v>43131</v>
      </c>
      <c r="D244">
        <v>163.85</v>
      </c>
      <c r="E244">
        <v>145086550</v>
      </c>
    </row>
    <row r="245" spans="1:5" x14ac:dyDescent="0.45">
      <c r="A245" t="s">
        <v>69</v>
      </c>
      <c r="B245" t="s">
        <v>66</v>
      </c>
      <c r="C245" s="1">
        <v>43138</v>
      </c>
      <c r="D245">
        <v>156.63</v>
      </c>
      <c r="E245">
        <v>34449664</v>
      </c>
    </row>
    <row r="246" spans="1:5" x14ac:dyDescent="0.45">
      <c r="A246" t="s">
        <v>70</v>
      </c>
      <c r="B246" t="s">
        <v>6</v>
      </c>
      <c r="C246" s="1">
        <v>41333</v>
      </c>
      <c r="D246">
        <v>27.78</v>
      </c>
      <c r="E246">
        <v>559160369</v>
      </c>
    </row>
    <row r="247" spans="1:5" x14ac:dyDescent="0.45">
      <c r="A247" t="s">
        <v>70</v>
      </c>
      <c r="B247" t="s">
        <v>7</v>
      </c>
      <c r="C247" s="1">
        <v>41361</v>
      </c>
      <c r="D247">
        <v>28.14</v>
      </c>
      <c r="E247">
        <v>844922702</v>
      </c>
    </row>
    <row r="248" spans="1:5" x14ac:dyDescent="0.45">
      <c r="A248" t="s">
        <v>70</v>
      </c>
      <c r="B248" t="s">
        <v>8</v>
      </c>
      <c r="C248" s="1">
        <v>41394</v>
      </c>
      <c r="D248">
        <v>29.87</v>
      </c>
      <c r="E248">
        <v>1465284439</v>
      </c>
    </row>
    <row r="249" spans="1:5" x14ac:dyDescent="0.45">
      <c r="A249" t="s">
        <v>70</v>
      </c>
      <c r="B249" t="s">
        <v>9</v>
      </c>
      <c r="C249" s="1">
        <v>41425</v>
      </c>
      <c r="D249">
        <v>33.950000000000003</v>
      </c>
      <c r="E249">
        <v>1071697050</v>
      </c>
    </row>
    <row r="250" spans="1:5" x14ac:dyDescent="0.45">
      <c r="A250" t="s">
        <v>70</v>
      </c>
      <c r="B250" t="s">
        <v>10</v>
      </c>
      <c r="C250" s="1">
        <v>41453</v>
      </c>
      <c r="D250">
        <v>34.630000000000003</v>
      </c>
      <c r="E250">
        <v>945100411</v>
      </c>
    </row>
    <row r="251" spans="1:5" x14ac:dyDescent="0.45">
      <c r="A251" t="s">
        <v>70</v>
      </c>
      <c r="B251" t="s">
        <v>11</v>
      </c>
      <c r="C251" s="1">
        <v>41486</v>
      </c>
      <c r="D251">
        <v>33.65</v>
      </c>
      <c r="E251">
        <v>1110792818</v>
      </c>
    </row>
    <row r="252" spans="1:5" x14ac:dyDescent="0.45">
      <c r="A252" t="s">
        <v>70</v>
      </c>
      <c r="B252" t="s">
        <v>12</v>
      </c>
      <c r="C252" s="1">
        <v>41516</v>
      </c>
      <c r="D252">
        <v>32.49</v>
      </c>
      <c r="E252">
        <v>1050792762</v>
      </c>
    </row>
    <row r="253" spans="1:5" x14ac:dyDescent="0.45">
      <c r="A253" t="s">
        <v>70</v>
      </c>
      <c r="B253" t="s">
        <v>13</v>
      </c>
      <c r="C253" s="1">
        <v>41547</v>
      </c>
      <c r="D253">
        <v>32.520000000000003</v>
      </c>
      <c r="E253">
        <v>1244372884</v>
      </c>
    </row>
    <row r="254" spans="1:5" x14ac:dyDescent="0.45">
      <c r="A254" t="s">
        <v>70</v>
      </c>
      <c r="B254" t="s">
        <v>14</v>
      </c>
      <c r="C254" s="1">
        <v>41578</v>
      </c>
      <c r="D254">
        <v>34.380000000000003</v>
      </c>
      <c r="E254">
        <v>965335756</v>
      </c>
    </row>
    <row r="255" spans="1:5" x14ac:dyDescent="0.45">
      <c r="A255" t="s">
        <v>70</v>
      </c>
      <c r="B255" t="s">
        <v>15</v>
      </c>
      <c r="C255" s="1">
        <v>41607</v>
      </c>
      <c r="D255">
        <v>37.36</v>
      </c>
      <c r="E255">
        <v>800462910</v>
      </c>
    </row>
    <row r="256" spans="1:5" x14ac:dyDescent="0.45">
      <c r="A256" t="s">
        <v>70</v>
      </c>
      <c r="B256" t="s">
        <v>16</v>
      </c>
      <c r="C256" s="1">
        <v>41639</v>
      </c>
      <c r="D256">
        <v>37.46</v>
      </c>
      <c r="E256">
        <v>826638293</v>
      </c>
    </row>
    <row r="257" spans="1:5" x14ac:dyDescent="0.45">
      <c r="A257" t="s">
        <v>70</v>
      </c>
      <c r="B257" t="s">
        <v>17</v>
      </c>
      <c r="C257" s="1">
        <v>41670</v>
      </c>
      <c r="D257">
        <v>36.35</v>
      </c>
      <c r="E257">
        <v>932088007</v>
      </c>
    </row>
    <row r="258" spans="1:5" x14ac:dyDescent="0.45">
      <c r="A258" t="s">
        <v>70</v>
      </c>
      <c r="B258" t="s">
        <v>18</v>
      </c>
      <c r="C258" s="1">
        <v>41698</v>
      </c>
      <c r="D258">
        <v>37.24</v>
      </c>
      <c r="E258">
        <v>718232083</v>
      </c>
    </row>
    <row r="259" spans="1:5" x14ac:dyDescent="0.45">
      <c r="A259" t="s">
        <v>70</v>
      </c>
      <c r="B259" t="s">
        <v>19</v>
      </c>
      <c r="C259" s="1">
        <v>41729</v>
      </c>
      <c r="D259">
        <v>38.99</v>
      </c>
      <c r="E259">
        <v>778539480</v>
      </c>
    </row>
    <row r="260" spans="1:5" x14ac:dyDescent="0.45">
      <c r="A260" t="s">
        <v>70</v>
      </c>
      <c r="B260" t="s">
        <v>20</v>
      </c>
      <c r="C260" s="1">
        <v>41759</v>
      </c>
      <c r="D260">
        <v>40.130000000000003</v>
      </c>
      <c r="E260">
        <v>746089292</v>
      </c>
    </row>
    <row r="261" spans="1:5" x14ac:dyDescent="0.45">
      <c r="A261" t="s">
        <v>70</v>
      </c>
      <c r="B261" t="s">
        <v>21</v>
      </c>
      <c r="C261" s="1">
        <v>41789</v>
      </c>
      <c r="D261">
        <v>39.92</v>
      </c>
      <c r="E261">
        <v>574399726</v>
      </c>
    </row>
    <row r="262" spans="1:5" x14ac:dyDescent="0.45">
      <c r="A262" t="s">
        <v>70</v>
      </c>
      <c r="B262" t="s">
        <v>22</v>
      </c>
      <c r="C262" s="1">
        <v>41820</v>
      </c>
      <c r="D262">
        <v>41.36</v>
      </c>
      <c r="E262">
        <v>555812233</v>
      </c>
    </row>
    <row r="263" spans="1:5" x14ac:dyDescent="0.45">
      <c r="A263" t="s">
        <v>70</v>
      </c>
      <c r="B263" t="s">
        <v>23</v>
      </c>
      <c r="C263" s="1">
        <v>41851</v>
      </c>
      <c r="D263">
        <v>43.21</v>
      </c>
      <c r="E263">
        <v>731660016</v>
      </c>
    </row>
    <row r="264" spans="1:5" x14ac:dyDescent="0.45">
      <c r="A264" t="s">
        <v>70</v>
      </c>
      <c r="B264" t="s">
        <v>24</v>
      </c>
      <c r="C264" s="1">
        <v>41880</v>
      </c>
      <c r="D264">
        <v>44.26</v>
      </c>
      <c r="E264">
        <v>513896431</v>
      </c>
    </row>
    <row r="265" spans="1:5" x14ac:dyDescent="0.45">
      <c r="A265" t="s">
        <v>70</v>
      </c>
      <c r="B265" t="s">
        <v>25</v>
      </c>
      <c r="C265" s="1">
        <v>41912</v>
      </c>
      <c r="D265">
        <v>46.41</v>
      </c>
      <c r="E265">
        <v>860844169</v>
      </c>
    </row>
    <row r="266" spans="1:5" x14ac:dyDescent="0.45">
      <c r="A266" t="s">
        <v>70</v>
      </c>
      <c r="B266" t="s">
        <v>26</v>
      </c>
      <c r="C266" s="1">
        <v>41943</v>
      </c>
      <c r="D266">
        <v>45.2</v>
      </c>
      <c r="E266">
        <v>853297059</v>
      </c>
    </row>
    <row r="267" spans="1:5" x14ac:dyDescent="0.45">
      <c r="A267" t="s">
        <v>70</v>
      </c>
      <c r="B267" t="s">
        <v>27</v>
      </c>
      <c r="C267" s="1">
        <v>41971</v>
      </c>
      <c r="D267">
        <v>48.41</v>
      </c>
      <c r="E267">
        <v>523008240</v>
      </c>
    </row>
    <row r="268" spans="1:5" x14ac:dyDescent="0.45">
      <c r="A268" t="s">
        <v>70</v>
      </c>
      <c r="B268" t="s">
        <v>28</v>
      </c>
      <c r="C268" s="1">
        <v>42004</v>
      </c>
      <c r="D268">
        <v>47.49</v>
      </c>
      <c r="E268">
        <v>626810606</v>
      </c>
    </row>
    <row r="269" spans="1:5" x14ac:dyDescent="0.45">
      <c r="A269" t="s">
        <v>70</v>
      </c>
      <c r="B269" t="s">
        <v>29</v>
      </c>
      <c r="C269" s="1">
        <v>42034</v>
      </c>
      <c r="D269">
        <v>45.51</v>
      </c>
      <c r="E269">
        <v>918966561</v>
      </c>
    </row>
    <row r="270" spans="1:5" x14ac:dyDescent="0.45">
      <c r="A270" t="s">
        <v>70</v>
      </c>
      <c r="B270" t="s">
        <v>30</v>
      </c>
      <c r="C270" s="1">
        <v>42062</v>
      </c>
      <c r="D270">
        <v>43.08</v>
      </c>
      <c r="E270">
        <v>656509827</v>
      </c>
    </row>
    <row r="271" spans="1:5" x14ac:dyDescent="0.45">
      <c r="A271" t="s">
        <v>70</v>
      </c>
      <c r="B271" t="s">
        <v>31</v>
      </c>
      <c r="C271" s="1">
        <v>42094</v>
      </c>
      <c r="D271">
        <v>42.13</v>
      </c>
      <c r="E271">
        <v>824335340</v>
      </c>
    </row>
    <row r="272" spans="1:5" x14ac:dyDescent="0.45">
      <c r="A272" t="s">
        <v>70</v>
      </c>
      <c r="B272" t="s">
        <v>32</v>
      </c>
      <c r="C272" s="1">
        <v>42124</v>
      </c>
      <c r="D272">
        <v>43.46</v>
      </c>
      <c r="E272">
        <v>874535095</v>
      </c>
    </row>
    <row r="273" spans="1:5" x14ac:dyDescent="0.45">
      <c r="A273" t="s">
        <v>70</v>
      </c>
      <c r="B273" t="s">
        <v>33</v>
      </c>
      <c r="C273" s="1">
        <v>42153</v>
      </c>
      <c r="D273">
        <v>47.53</v>
      </c>
      <c r="E273">
        <v>633072750</v>
      </c>
    </row>
    <row r="274" spans="1:5" x14ac:dyDescent="0.45">
      <c r="A274" t="s">
        <v>70</v>
      </c>
      <c r="B274" t="s">
        <v>34</v>
      </c>
      <c r="C274" s="1">
        <v>42185</v>
      </c>
      <c r="D274">
        <v>45.96</v>
      </c>
      <c r="E274">
        <v>664853340</v>
      </c>
    </row>
    <row r="275" spans="1:5" x14ac:dyDescent="0.45">
      <c r="A275" t="s">
        <v>70</v>
      </c>
      <c r="B275" t="s">
        <v>35</v>
      </c>
      <c r="C275" s="1">
        <v>42216</v>
      </c>
      <c r="D275">
        <v>45.61</v>
      </c>
      <c r="E275">
        <v>725458102</v>
      </c>
    </row>
    <row r="276" spans="1:5" x14ac:dyDescent="0.45">
      <c r="A276" t="s">
        <v>70</v>
      </c>
      <c r="B276" t="s">
        <v>36</v>
      </c>
      <c r="C276" s="1">
        <v>42247</v>
      </c>
      <c r="D276">
        <v>45.51</v>
      </c>
      <c r="E276">
        <v>776497465</v>
      </c>
    </row>
    <row r="277" spans="1:5" x14ac:dyDescent="0.45">
      <c r="A277" t="s">
        <v>70</v>
      </c>
      <c r="B277" t="s">
        <v>37</v>
      </c>
      <c r="C277" s="1">
        <v>42277</v>
      </c>
      <c r="D277">
        <v>43.56</v>
      </c>
      <c r="E277">
        <v>673079858</v>
      </c>
    </row>
    <row r="278" spans="1:5" x14ac:dyDescent="0.45">
      <c r="A278" t="s">
        <v>70</v>
      </c>
      <c r="B278" t="s">
        <v>38</v>
      </c>
      <c r="C278" s="1">
        <v>42307</v>
      </c>
      <c r="D278">
        <v>48.7</v>
      </c>
      <c r="E278">
        <v>857330655</v>
      </c>
    </row>
    <row r="279" spans="1:5" x14ac:dyDescent="0.45">
      <c r="A279" t="s">
        <v>70</v>
      </c>
      <c r="B279" t="s">
        <v>39</v>
      </c>
      <c r="C279" s="1">
        <v>42338</v>
      </c>
      <c r="D279">
        <v>53.88</v>
      </c>
      <c r="E279">
        <v>662626721</v>
      </c>
    </row>
    <row r="280" spans="1:5" x14ac:dyDescent="0.45">
      <c r="A280" t="s">
        <v>70</v>
      </c>
      <c r="B280" t="s">
        <v>40</v>
      </c>
      <c r="C280" s="1">
        <v>42369</v>
      </c>
      <c r="D280">
        <v>55.4</v>
      </c>
      <c r="E280">
        <v>793070000</v>
      </c>
    </row>
    <row r="281" spans="1:5" x14ac:dyDescent="0.45">
      <c r="A281" t="s">
        <v>70</v>
      </c>
      <c r="B281" t="s">
        <v>41</v>
      </c>
      <c r="C281" s="1">
        <v>42398</v>
      </c>
      <c r="D281">
        <v>52.4</v>
      </c>
      <c r="E281">
        <v>927914485</v>
      </c>
    </row>
    <row r="282" spans="1:5" x14ac:dyDescent="0.45">
      <c r="A282" t="s">
        <v>70</v>
      </c>
      <c r="B282" t="s">
        <v>42</v>
      </c>
      <c r="C282" s="1">
        <v>42429</v>
      </c>
      <c r="D282">
        <v>51.38</v>
      </c>
      <c r="E282">
        <v>814770780</v>
      </c>
    </row>
    <row r="283" spans="1:5" x14ac:dyDescent="0.45">
      <c r="A283" t="s">
        <v>70</v>
      </c>
      <c r="B283" t="s">
        <v>43</v>
      </c>
      <c r="C283" s="1">
        <v>42460</v>
      </c>
      <c r="D283">
        <v>53.38</v>
      </c>
      <c r="E283">
        <v>641131952</v>
      </c>
    </row>
    <row r="284" spans="1:5" x14ac:dyDescent="0.45">
      <c r="A284" t="s">
        <v>70</v>
      </c>
      <c r="B284" t="s">
        <v>44</v>
      </c>
      <c r="C284" s="1">
        <v>42489</v>
      </c>
      <c r="D284">
        <v>54.05</v>
      </c>
      <c r="E284">
        <v>699025640</v>
      </c>
    </row>
    <row r="285" spans="1:5" x14ac:dyDescent="0.45">
      <c r="A285" t="s">
        <v>70</v>
      </c>
      <c r="B285" t="s">
        <v>45</v>
      </c>
      <c r="C285" s="1">
        <v>42521</v>
      </c>
      <c r="D285">
        <v>50.97</v>
      </c>
      <c r="E285">
        <v>530869347</v>
      </c>
    </row>
    <row r="286" spans="1:5" x14ac:dyDescent="0.45">
      <c r="A286" t="s">
        <v>70</v>
      </c>
      <c r="B286" t="s">
        <v>46</v>
      </c>
      <c r="C286" s="1">
        <v>42551</v>
      </c>
      <c r="D286">
        <v>50.92</v>
      </c>
      <c r="E286">
        <v>823987498</v>
      </c>
    </row>
    <row r="287" spans="1:5" x14ac:dyDescent="0.45">
      <c r="A287" t="s">
        <v>70</v>
      </c>
      <c r="B287" t="s">
        <v>47</v>
      </c>
      <c r="C287" s="1">
        <v>42580</v>
      </c>
      <c r="D287">
        <v>54.1</v>
      </c>
      <c r="E287">
        <v>647587634</v>
      </c>
    </row>
    <row r="288" spans="1:5" x14ac:dyDescent="0.45">
      <c r="A288" t="s">
        <v>70</v>
      </c>
      <c r="B288" t="s">
        <v>48</v>
      </c>
      <c r="C288" s="1">
        <v>42613</v>
      </c>
      <c r="D288">
        <v>57.72</v>
      </c>
      <c r="E288">
        <v>467079004</v>
      </c>
    </row>
    <row r="289" spans="1:5" x14ac:dyDescent="0.45">
      <c r="A289" t="s">
        <v>70</v>
      </c>
      <c r="B289" t="s">
        <v>49</v>
      </c>
      <c r="C289" s="1">
        <v>42643</v>
      </c>
      <c r="D289">
        <v>57.29</v>
      </c>
      <c r="E289">
        <v>526855083</v>
      </c>
    </row>
    <row r="290" spans="1:5" x14ac:dyDescent="0.45">
      <c r="A290" t="s">
        <v>70</v>
      </c>
      <c r="B290" t="s">
        <v>50</v>
      </c>
      <c r="C290" s="1">
        <v>42674</v>
      </c>
      <c r="D290">
        <v>58.4</v>
      </c>
      <c r="E290">
        <v>614841775</v>
      </c>
    </row>
    <row r="291" spans="1:5" x14ac:dyDescent="0.45">
      <c r="A291" t="s">
        <v>70</v>
      </c>
      <c r="B291" t="s">
        <v>51</v>
      </c>
      <c r="C291" s="1">
        <v>42704</v>
      </c>
      <c r="D291">
        <v>59.93</v>
      </c>
      <c r="E291">
        <v>613056964</v>
      </c>
    </row>
    <row r="292" spans="1:5" x14ac:dyDescent="0.45">
      <c r="A292" t="s">
        <v>70</v>
      </c>
      <c r="B292" t="s">
        <v>52</v>
      </c>
      <c r="C292" s="1">
        <v>42734</v>
      </c>
      <c r="D292">
        <v>62.12</v>
      </c>
      <c r="E292">
        <v>513579428</v>
      </c>
    </row>
    <row r="293" spans="1:5" x14ac:dyDescent="0.45">
      <c r="A293" t="s">
        <v>70</v>
      </c>
      <c r="B293" t="s">
        <v>53</v>
      </c>
      <c r="C293" s="1">
        <v>42766</v>
      </c>
      <c r="D293">
        <v>63.19</v>
      </c>
      <c r="E293">
        <v>494435826</v>
      </c>
    </row>
    <row r="294" spans="1:5" x14ac:dyDescent="0.45">
      <c r="A294" t="s">
        <v>70</v>
      </c>
      <c r="B294" t="s">
        <v>54</v>
      </c>
      <c r="C294" s="1">
        <v>42794</v>
      </c>
      <c r="D294">
        <v>64.11</v>
      </c>
      <c r="E294">
        <v>440744043</v>
      </c>
    </row>
    <row r="295" spans="1:5" x14ac:dyDescent="0.45">
      <c r="A295" t="s">
        <v>70</v>
      </c>
      <c r="B295" t="s">
        <v>55</v>
      </c>
      <c r="C295" s="1">
        <v>42825</v>
      </c>
      <c r="D295">
        <v>64.84</v>
      </c>
      <c r="E295">
        <v>489173200</v>
      </c>
    </row>
    <row r="296" spans="1:5" x14ac:dyDescent="0.45">
      <c r="A296" t="s">
        <v>70</v>
      </c>
      <c r="B296" t="s">
        <v>56</v>
      </c>
      <c r="C296" s="1">
        <v>42853</v>
      </c>
      <c r="D296">
        <v>66.17</v>
      </c>
      <c r="E296">
        <v>433171928</v>
      </c>
    </row>
    <row r="297" spans="1:5" x14ac:dyDescent="0.45">
      <c r="A297" t="s">
        <v>70</v>
      </c>
      <c r="B297" t="s">
        <v>57</v>
      </c>
      <c r="C297" s="1">
        <v>42886</v>
      </c>
      <c r="D297">
        <v>68.92</v>
      </c>
      <c r="E297">
        <v>517291484</v>
      </c>
    </row>
    <row r="298" spans="1:5" x14ac:dyDescent="0.45">
      <c r="A298" t="s">
        <v>70</v>
      </c>
      <c r="B298" t="s">
        <v>58</v>
      </c>
      <c r="C298" s="1">
        <v>42916</v>
      </c>
      <c r="D298">
        <v>70.52</v>
      </c>
      <c r="E298">
        <v>629716618</v>
      </c>
    </row>
    <row r="299" spans="1:5" x14ac:dyDescent="0.45">
      <c r="A299" t="s">
        <v>70</v>
      </c>
      <c r="B299" t="s">
        <v>59</v>
      </c>
      <c r="C299" s="1">
        <v>42947</v>
      </c>
      <c r="D299">
        <v>72.010000000000005</v>
      </c>
      <c r="E299">
        <v>469851277</v>
      </c>
    </row>
    <row r="300" spans="1:5" x14ac:dyDescent="0.45">
      <c r="A300" t="s">
        <v>70</v>
      </c>
      <c r="B300" t="s">
        <v>60</v>
      </c>
      <c r="C300" s="1">
        <v>42978</v>
      </c>
      <c r="D300">
        <v>72.819999999999993</v>
      </c>
      <c r="E300">
        <v>442761884</v>
      </c>
    </row>
    <row r="301" spans="1:5" x14ac:dyDescent="0.45">
      <c r="A301" t="s">
        <v>70</v>
      </c>
      <c r="B301" t="s">
        <v>61</v>
      </c>
      <c r="C301" s="1">
        <v>43007</v>
      </c>
      <c r="D301">
        <v>74.34</v>
      </c>
      <c r="E301">
        <v>376670198</v>
      </c>
    </row>
    <row r="302" spans="1:5" x14ac:dyDescent="0.45">
      <c r="A302" t="s">
        <v>70</v>
      </c>
      <c r="B302" t="s">
        <v>62</v>
      </c>
      <c r="C302" s="1">
        <v>43039</v>
      </c>
      <c r="D302">
        <v>77.94</v>
      </c>
      <c r="E302">
        <v>449949950</v>
      </c>
    </row>
    <row r="303" spans="1:5" x14ac:dyDescent="0.45">
      <c r="A303" t="s">
        <v>70</v>
      </c>
      <c r="B303" t="s">
        <v>63</v>
      </c>
      <c r="C303" s="1">
        <v>43069</v>
      </c>
      <c r="D303">
        <v>83.72</v>
      </c>
      <c r="E303">
        <v>421919053</v>
      </c>
    </row>
    <row r="304" spans="1:5" x14ac:dyDescent="0.45">
      <c r="A304" t="s">
        <v>70</v>
      </c>
      <c r="B304" t="s">
        <v>64</v>
      </c>
      <c r="C304" s="1">
        <v>43098</v>
      </c>
      <c r="D304">
        <v>84.76</v>
      </c>
      <c r="E304">
        <v>466203334</v>
      </c>
    </row>
    <row r="305" spans="1:5" x14ac:dyDescent="0.45">
      <c r="A305" t="s">
        <v>70</v>
      </c>
      <c r="B305" t="s">
        <v>65</v>
      </c>
      <c r="C305" s="1">
        <v>43131</v>
      </c>
      <c r="D305">
        <v>90.08</v>
      </c>
      <c r="E305">
        <v>574258506</v>
      </c>
    </row>
    <row r="306" spans="1:5" x14ac:dyDescent="0.45">
      <c r="A306" t="s">
        <v>70</v>
      </c>
      <c r="B306" t="s">
        <v>66</v>
      </c>
      <c r="C306" s="1">
        <v>43138</v>
      </c>
      <c r="D306">
        <v>91</v>
      </c>
      <c r="E306">
        <v>255233256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97556-D32B-4EEE-9A66-BB55AA603E8F}">
  <sheetPr filterMode="1"/>
  <dimension ref="A1:F306"/>
  <sheetViews>
    <sheetView topLeftCell="A217" workbookViewId="0">
      <selection activeCell="F186" sqref="F186:F245"/>
    </sheetView>
  </sheetViews>
  <sheetFormatPr defaultRowHeight="14.25" x14ac:dyDescent="0.45"/>
  <cols>
    <col min="1" max="1" width="6.6640625" bestFit="1" customWidth="1"/>
    <col min="2" max="2" width="7.3984375" bestFit="1" customWidth="1"/>
    <col min="3" max="3" width="12.3984375" bestFit="1" customWidth="1"/>
    <col min="4" max="4" width="7.86328125" bestFit="1" customWidth="1"/>
    <col min="5" max="5" width="8.53125" bestFit="1" customWidth="1"/>
    <col min="6" max="6" width="14.796875" bestFit="1" customWidth="1"/>
  </cols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t="s">
        <v>71</v>
      </c>
      <c r="F1" t="s">
        <v>72</v>
      </c>
    </row>
    <row r="2" spans="1:6" hidden="1" x14ac:dyDescent="0.45">
      <c r="A2" t="s">
        <v>5</v>
      </c>
      <c r="B2" t="s">
        <v>6</v>
      </c>
      <c r="C2" s="1">
        <v>41333</v>
      </c>
      <c r="D2">
        <v>65.31</v>
      </c>
    </row>
    <row r="3" spans="1:6" hidden="1" x14ac:dyDescent="0.45">
      <c r="A3" t="s">
        <v>5</v>
      </c>
      <c r="B3" t="s">
        <v>7</v>
      </c>
      <c r="C3" s="1">
        <v>41361</v>
      </c>
      <c r="D3">
        <v>63.12</v>
      </c>
      <c r="E3">
        <v>65.31</v>
      </c>
      <c r="F3">
        <v>-3.35</v>
      </c>
    </row>
    <row r="4" spans="1:6" hidden="1" x14ac:dyDescent="0.45">
      <c r="A4" t="s">
        <v>5</v>
      </c>
      <c r="B4" t="s">
        <v>8</v>
      </c>
      <c r="C4" s="1">
        <v>41394</v>
      </c>
      <c r="D4">
        <v>59.97</v>
      </c>
      <c r="E4">
        <v>63.12</v>
      </c>
      <c r="F4">
        <v>-4.99</v>
      </c>
    </row>
    <row r="5" spans="1:6" hidden="1" x14ac:dyDescent="0.45">
      <c r="A5" t="s">
        <v>5</v>
      </c>
      <c r="B5" t="s">
        <v>9</v>
      </c>
      <c r="C5" s="1">
        <v>41425</v>
      </c>
      <c r="D5">
        <v>63.78</v>
      </c>
      <c r="E5">
        <v>59.97</v>
      </c>
      <c r="F5">
        <v>6.35</v>
      </c>
    </row>
    <row r="6" spans="1:6" hidden="1" x14ac:dyDescent="0.45">
      <c r="A6" t="s">
        <v>5</v>
      </c>
      <c r="B6" t="s">
        <v>10</v>
      </c>
      <c r="C6" s="1">
        <v>41453</v>
      </c>
      <c r="D6">
        <v>60.79</v>
      </c>
      <c r="E6">
        <v>63.78</v>
      </c>
      <c r="F6">
        <v>-4.6900000000000004</v>
      </c>
    </row>
    <row r="7" spans="1:6" hidden="1" x14ac:dyDescent="0.45">
      <c r="A7" t="s">
        <v>5</v>
      </c>
      <c r="B7" t="s">
        <v>11</v>
      </c>
      <c r="C7" s="1">
        <v>41486</v>
      </c>
      <c r="D7">
        <v>61.31</v>
      </c>
      <c r="E7">
        <v>60.79</v>
      </c>
      <c r="F7">
        <v>0.86</v>
      </c>
    </row>
    <row r="8" spans="1:6" hidden="1" x14ac:dyDescent="0.45">
      <c r="A8" t="s">
        <v>5</v>
      </c>
      <c r="B8" t="s">
        <v>12</v>
      </c>
      <c r="C8" s="1">
        <v>41516</v>
      </c>
      <c r="D8">
        <v>69.260000000000005</v>
      </c>
      <c r="E8">
        <v>61.31</v>
      </c>
      <c r="F8">
        <v>12.97</v>
      </c>
    </row>
    <row r="9" spans="1:6" hidden="1" x14ac:dyDescent="0.45">
      <c r="A9" t="s">
        <v>5</v>
      </c>
      <c r="B9" t="s">
        <v>13</v>
      </c>
      <c r="C9" s="1">
        <v>41547</v>
      </c>
      <c r="D9">
        <v>68.599999999999994</v>
      </c>
      <c r="E9">
        <v>69.260000000000005</v>
      </c>
      <c r="F9">
        <v>-0.95</v>
      </c>
    </row>
    <row r="10" spans="1:6" hidden="1" x14ac:dyDescent="0.45">
      <c r="A10" t="s">
        <v>5</v>
      </c>
      <c r="B10" t="s">
        <v>14</v>
      </c>
      <c r="C10" s="1">
        <v>41578</v>
      </c>
      <c r="D10">
        <v>72.11</v>
      </c>
      <c r="E10">
        <v>68.599999999999994</v>
      </c>
      <c r="F10">
        <v>5.12</v>
      </c>
    </row>
    <row r="11" spans="1:6" hidden="1" x14ac:dyDescent="0.45">
      <c r="A11" t="s">
        <v>5</v>
      </c>
      <c r="B11" t="s">
        <v>15</v>
      </c>
      <c r="C11" s="1">
        <v>41607</v>
      </c>
      <c r="D11">
        <v>74.95</v>
      </c>
      <c r="E11">
        <v>72.11</v>
      </c>
      <c r="F11">
        <v>3.94</v>
      </c>
    </row>
    <row r="12" spans="1:6" hidden="1" x14ac:dyDescent="0.45">
      <c r="A12" t="s">
        <v>5</v>
      </c>
      <c r="B12" t="s">
        <v>16</v>
      </c>
      <c r="C12" s="1">
        <v>41639</v>
      </c>
      <c r="D12">
        <v>79.95</v>
      </c>
      <c r="E12">
        <v>74.95</v>
      </c>
      <c r="F12">
        <v>6.67</v>
      </c>
    </row>
    <row r="13" spans="1:6" hidden="1" x14ac:dyDescent="0.45">
      <c r="A13" t="s">
        <v>5</v>
      </c>
      <c r="B13" t="s">
        <v>17</v>
      </c>
      <c r="C13" s="1">
        <v>41670</v>
      </c>
      <c r="D13">
        <v>76.78</v>
      </c>
      <c r="E13">
        <v>79.95</v>
      </c>
      <c r="F13">
        <v>-3.96</v>
      </c>
    </row>
    <row r="14" spans="1:6" hidden="1" x14ac:dyDescent="0.45">
      <c r="A14" t="s">
        <v>5</v>
      </c>
      <c r="B14" t="s">
        <v>18</v>
      </c>
      <c r="C14" s="1">
        <v>41698</v>
      </c>
      <c r="D14">
        <v>75.23</v>
      </c>
      <c r="E14">
        <v>76.78</v>
      </c>
      <c r="F14">
        <v>-2.02</v>
      </c>
    </row>
    <row r="15" spans="1:6" hidden="1" x14ac:dyDescent="0.45">
      <c r="A15" t="s">
        <v>5</v>
      </c>
      <c r="B15" t="s">
        <v>19</v>
      </c>
      <c r="C15" s="1">
        <v>41729</v>
      </c>
      <c r="D15">
        <v>76.17</v>
      </c>
      <c r="E15">
        <v>75.23</v>
      </c>
      <c r="F15">
        <v>1.25</v>
      </c>
    </row>
    <row r="16" spans="1:6" hidden="1" x14ac:dyDescent="0.45">
      <c r="A16" t="s">
        <v>5</v>
      </c>
      <c r="B16" t="s">
        <v>20</v>
      </c>
      <c r="C16" s="1">
        <v>41759</v>
      </c>
      <c r="D16">
        <v>77.3</v>
      </c>
      <c r="E16">
        <v>76.17</v>
      </c>
      <c r="F16">
        <v>1.48</v>
      </c>
    </row>
    <row r="17" spans="1:6" hidden="1" x14ac:dyDescent="0.45">
      <c r="A17" t="s">
        <v>5</v>
      </c>
      <c r="B17" t="s">
        <v>21</v>
      </c>
      <c r="C17" s="1">
        <v>41789</v>
      </c>
      <c r="D17">
        <v>86.17</v>
      </c>
      <c r="E17">
        <v>77.3</v>
      </c>
      <c r="F17">
        <v>11.47</v>
      </c>
    </row>
    <row r="18" spans="1:6" hidden="1" x14ac:dyDescent="0.45">
      <c r="A18" t="s">
        <v>5</v>
      </c>
      <c r="B18" t="s">
        <v>22</v>
      </c>
      <c r="C18" s="1">
        <v>41820</v>
      </c>
      <c r="D18">
        <v>91.89</v>
      </c>
      <c r="E18">
        <v>86.17</v>
      </c>
      <c r="F18">
        <v>6.64</v>
      </c>
    </row>
    <row r="19" spans="1:6" hidden="1" x14ac:dyDescent="0.45">
      <c r="A19" t="s">
        <v>5</v>
      </c>
      <c r="B19" t="s">
        <v>23</v>
      </c>
      <c r="C19" s="1">
        <v>41851</v>
      </c>
      <c r="D19">
        <v>95.63</v>
      </c>
      <c r="E19">
        <v>91.89</v>
      </c>
      <c r="F19">
        <v>4.07</v>
      </c>
    </row>
    <row r="20" spans="1:6" hidden="1" x14ac:dyDescent="0.45">
      <c r="A20" t="s">
        <v>5</v>
      </c>
      <c r="B20" t="s">
        <v>24</v>
      </c>
      <c r="C20" s="1">
        <v>41880</v>
      </c>
      <c r="D20">
        <v>98.44</v>
      </c>
      <c r="E20">
        <v>95.63</v>
      </c>
      <c r="F20">
        <v>2.94</v>
      </c>
    </row>
    <row r="21" spans="1:6" hidden="1" x14ac:dyDescent="0.45">
      <c r="A21" t="s">
        <v>5</v>
      </c>
      <c r="B21" t="s">
        <v>25</v>
      </c>
      <c r="C21" s="1">
        <v>41912</v>
      </c>
      <c r="D21">
        <v>100.55</v>
      </c>
      <c r="E21">
        <v>98.44</v>
      </c>
      <c r="F21">
        <v>2.14</v>
      </c>
    </row>
    <row r="22" spans="1:6" hidden="1" x14ac:dyDescent="0.45">
      <c r="A22" t="s">
        <v>5</v>
      </c>
      <c r="B22" t="s">
        <v>26</v>
      </c>
      <c r="C22" s="1">
        <v>41943</v>
      </c>
      <c r="D22">
        <v>101.7</v>
      </c>
      <c r="E22">
        <v>100.55</v>
      </c>
      <c r="F22">
        <v>1.1399999999999999</v>
      </c>
    </row>
    <row r="23" spans="1:6" hidden="1" x14ac:dyDescent="0.45">
      <c r="A23" t="s">
        <v>5</v>
      </c>
      <c r="B23" t="s">
        <v>27</v>
      </c>
      <c r="C23" s="1">
        <v>41971</v>
      </c>
      <c r="D23">
        <v>113.28</v>
      </c>
      <c r="E23">
        <v>101.7</v>
      </c>
      <c r="F23">
        <v>11.39</v>
      </c>
    </row>
    <row r="24" spans="1:6" hidden="1" x14ac:dyDescent="0.45">
      <c r="A24" t="s">
        <v>5</v>
      </c>
      <c r="B24" t="s">
        <v>28</v>
      </c>
      <c r="C24" s="1">
        <v>42004</v>
      </c>
      <c r="D24">
        <v>112.41</v>
      </c>
      <c r="E24">
        <v>113.28</v>
      </c>
      <c r="F24">
        <v>-0.77</v>
      </c>
    </row>
    <row r="25" spans="1:6" hidden="1" x14ac:dyDescent="0.45">
      <c r="A25" t="s">
        <v>5</v>
      </c>
      <c r="B25" t="s">
        <v>29</v>
      </c>
      <c r="C25" s="1">
        <v>42034</v>
      </c>
      <c r="D25">
        <v>110.64</v>
      </c>
      <c r="E25">
        <v>112.41</v>
      </c>
      <c r="F25">
        <v>-1.57</v>
      </c>
    </row>
    <row r="26" spans="1:6" hidden="1" x14ac:dyDescent="0.45">
      <c r="A26" t="s">
        <v>5</v>
      </c>
      <c r="B26" t="s">
        <v>30</v>
      </c>
      <c r="C26" s="1">
        <v>42062</v>
      </c>
      <c r="D26">
        <v>125.43</v>
      </c>
      <c r="E26">
        <v>110.64</v>
      </c>
      <c r="F26">
        <v>13.37</v>
      </c>
    </row>
    <row r="27" spans="1:6" hidden="1" x14ac:dyDescent="0.45">
      <c r="A27" t="s">
        <v>5</v>
      </c>
      <c r="B27" t="s">
        <v>31</v>
      </c>
      <c r="C27" s="1">
        <v>42094</v>
      </c>
      <c r="D27">
        <v>125.97</v>
      </c>
      <c r="E27">
        <v>125.43</v>
      </c>
      <c r="F27">
        <v>0.43</v>
      </c>
    </row>
    <row r="28" spans="1:6" hidden="1" x14ac:dyDescent="0.45">
      <c r="A28" t="s">
        <v>5</v>
      </c>
      <c r="B28" t="s">
        <v>32</v>
      </c>
      <c r="C28" s="1">
        <v>42124</v>
      </c>
      <c r="D28">
        <v>127.29</v>
      </c>
      <c r="E28">
        <v>125.97</v>
      </c>
      <c r="F28">
        <v>1.05</v>
      </c>
    </row>
    <row r="29" spans="1:6" hidden="1" x14ac:dyDescent="0.45">
      <c r="A29" t="s">
        <v>5</v>
      </c>
      <c r="B29" t="s">
        <v>33</v>
      </c>
      <c r="C29" s="1">
        <v>42153</v>
      </c>
      <c r="D29">
        <v>128.76</v>
      </c>
      <c r="E29">
        <v>127.29</v>
      </c>
      <c r="F29">
        <v>1.1499999999999999</v>
      </c>
    </row>
    <row r="30" spans="1:6" hidden="1" x14ac:dyDescent="0.45">
      <c r="A30" t="s">
        <v>5</v>
      </c>
      <c r="B30" t="s">
        <v>34</v>
      </c>
      <c r="C30" s="1">
        <v>42185</v>
      </c>
      <c r="D30">
        <v>127.81</v>
      </c>
      <c r="E30">
        <v>128.76</v>
      </c>
      <c r="F30">
        <v>-0.74</v>
      </c>
    </row>
    <row r="31" spans="1:6" hidden="1" x14ac:dyDescent="0.45">
      <c r="A31" t="s">
        <v>5</v>
      </c>
      <c r="B31" t="s">
        <v>35</v>
      </c>
      <c r="C31" s="1">
        <v>42216</v>
      </c>
      <c r="D31">
        <v>125.34</v>
      </c>
      <c r="E31">
        <v>127.81</v>
      </c>
      <c r="F31">
        <v>-1.93</v>
      </c>
    </row>
    <row r="32" spans="1:6" hidden="1" x14ac:dyDescent="0.45">
      <c r="A32" t="s">
        <v>5</v>
      </c>
      <c r="B32" t="s">
        <v>36</v>
      </c>
      <c r="C32" s="1">
        <v>42247</v>
      </c>
      <c r="D32">
        <v>113.39</v>
      </c>
      <c r="E32">
        <v>125.34</v>
      </c>
      <c r="F32">
        <v>-9.5299999999999994</v>
      </c>
    </row>
    <row r="33" spans="1:6" hidden="1" x14ac:dyDescent="0.45">
      <c r="A33" t="s">
        <v>5</v>
      </c>
      <c r="B33" t="s">
        <v>37</v>
      </c>
      <c r="C33" s="1">
        <v>42277</v>
      </c>
      <c r="D33">
        <v>112.8</v>
      </c>
      <c r="E33">
        <v>113.39</v>
      </c>
      <c r="F33">
        <v>-0.52</v>
      </c>
    </row>
    <row r="34" spans="1:6" hidden="1" x14ac:dyDescent="0.45">
      <c r="A34" t="s">
        <v>5</v>
      </c>
      <c r="B34" t="s">
        <v>38</v>
      </c>
      <c r="C34" s="1">
        <v>42307</v>
      </c>
      <c r="D34">
        <v>113.36</v>
      </c>
      <c r="E34">
        <v>112.8</v>
      </c>
      <c r="F34">
        <v>0.5</v>
      </c>
    </row>
    <row r="35" spans="1:6" hidden="1" x14ac:dyDescent="0.45">
      <c r="A35" t="s">
        <v>5</v>
      </c>
      <c r="B35" t="s">
        <v>39</v>
      </c>
      <c r="C35" s="1">
        <v>42338</v>
      </c>
      <c r="D35">
        <v>118.16</v>
      </c>
      <c r="E35">
        <v>113.36</v>
      </c>
      <c r="F35">
        <v>4.2300000000000004</v>
      </c>
    </row>
    <row r="36" spans="1:6" hidden="1" x14ac:dyDescent="0.45">
      <c r="A36" t="s">
        <v>5</v>
      </c>
      <c r="B36" t="s">
        <v>40</v>
      </c>
      <c r="C36" s="1">
        <v>42369</v>
      </c>
      <c r="D36">
        <v>111.73</v>
      </c>
      <c r="E36">
        <v>118.16</v>
      </c>
      <c r="F36">
        <v>-5.44</v>
      </c>
    </row>
    <row r="37" spans="1:6" hidden="1" x14ac:dyDescent="0.45">
      <c r="A37" t="s">
        <v>5</v>
      </c>
      <c r="B37" t="s">
        <v>41</v>
      </c>
      <c r="C37" s="1">
        <v>42398</v>
      </c>
      <c r="D37">
        <v>98.43</v>
      </c>
      <c r="E37">
        <v>111.73</v>
      </c>
      <c r="F37">
        <v>-11.9</v>
      </c>
    </row>
    <row r="38" spans="1:6" hidden="1" x14ac:dyDescent="0.45">
      <c r="A38" t="s">
        <v>5</v>
      </c>
      <c r="B38" t="s">
        <v>42</v>
      </c>
      <c r="C38" s="1">
        <v>42429</v>
      </c>
      <c r="D38">
        <v>95.75</v>
      </c>
      <c r="E38">
        <v>98.43</v>
      </c>
      <c r="F38">
        <v>-2.72</v>
      </c>
    </row>
    <row r="39" spans="1:6" hidden="1" x14ac:dyDescent="0.45">
      <c r="A39" t="s">
        <v>5</v>
      </c>
      <c r="B39" t="s">
        <v>43</v>
      </c>
      <c r="C39" s="1">
        <v>42460</v>
      </c>
      <c r="D39">
        <v>104.27</v>
      </c>
      <c r="E39">
        <v>95.75</v>
      </c>
      <c r="F39">
        <v>8.9</v>
      </c>
    </row>
    <row r="40" spans="1:6" hidden="1" x14ac:dyDescent="0.45">
      <c r="A40" t="s">
        <v>5</v>
      </c>
      <c r="B40" t="s">
        <v>44</v>
      </c>
      <c r="C40" s="1">
        <v>42489</v>
      </c>
      <c r="D40">
        <v>106.74</v>
      </c>
      <c r="E40">
        <v>104.27</v>
      </c>
      <c r="F40">
        <v>2.37</v>
      </c>
    </row>
    <row r="41" spans="1:6" hidden="1" x14ac:dyDescent="0.45">
      <c r="A41" t="s">
        <v>5</v>
      </c>
      <c r="B41" t="s">
        <v>45</v>
      </c>
      <c r="C41" s="1">
        <v>42521</v>
      </c>
      <c r="D41">
        <v>94.97</v>
      </c>
      <c r="E41">
        <v>106.74</v>
      </c>
      <c r="F41">
        <v>-11.03</v>
      </c>
    </row>
    <row r="42" spans="1:6" hidden="1" x14ac:dyDescent="0.45">
      <c r="A42" t="s">
        <v>5</v>
      </c>
      <c r="B42" t="s">
        <v>46</v>
      </c>
      <c r="C42" s="1">
        <v>42551</v>
      </c>
      <c r="D42">
        <v>96.62</v>
      </c>
      <c r="E42">
        <v>94.97</v>
      </c>
      <c r="F42">
        <v>1.74</v>
      </c>
    </row>
    <row r="43" spans="1:6" hidden="1" x14ac:dyDescent="0.45">
      <c r="A43" t="s">
        <v>5</v>
      </c>
      <c r="B43" t="s">
        <v>47</v>
      </c>
      <c r="C43" s="1">
        <v>42580</v>
      </c>
      <c r="D43">
        <v>98.56</v>
      </c>
      <c r="E43">
        <v>96.62</v>
      </c>
      <c r="F43">
        <v>2.0099999999999998</v>
      </c>
    </row>
    <row r="44" spans="1:6" hidden="1" x14ac:dyDescent="0.45">
      <c r="A44" t="s">
        <v>5</v>
      </c>
      <c r="B44" t="s">
        <v>48</v>
      </c>
      <c r="C44" s="1">
        <v>42613</v>
      </c>
      <c r="D44">
        <v>107.67</v>
      </c>
      <c r="E44">
        <v>98.56</v>
      </c>
      <c r="F44">
        <v>9.24</v>
      </c>
    </row>
    <row r="45" spans="1:6" hidden="1" x14ac:dyDescent="0.45">
      <c r="A45" t="s">
        <v>5</v>
      </c>
      <c r="B45" t="s">
        <v>49</v>
      </c>
      <c r="C45" s="1">
        <v>42643</v>
      </c>
      <c r="D45">
        <v>110.86</v>
      </c>
      <c r="E45">
        <v>107.67</v>
      </c>
      <c r="F45">
        <v>2.96</v>
      </c>
    </row>
    <row r="46" spans="1:6" hidden="1" x14ac:dyDescent="0.45">
      <c r="A46" t="s">
        <v>5</v>
      </c>
      <c r="B46" t="s">
        <v>50</v>
      </c>
      <c r="C46" s="1">
        <v>42674</v>
      </c>
      <c r="D46">
        <v>115.71</v>
      </c>
      <c r="E46">
        <v>110.86</v>
      </c>
      <c r="F46">
        <v>4.37</v>
      </c>
    </row>
    <row r="47" spans="1:6" hidden="1" x14ac:dyDescent="0.45">
      <c r="A47" t="s">
        <v>5</v>
      </c>
      <c r="B47" t="s">
        <v>51</v>
      </c>
      <c r="C47" s="1">
        <v>42704</v>
      </c>
      <c r="D47">
        <v>110.15</v>
      </c>
      <c r="E47">
        <v>115.71</v>
      </c>
      <c r="F47">
        <v>-4.8099999999999996</v>
      </c>
    </row>
    <row r="48" spans="1:6" hidden="1" x14ac:dyDescent="0.45">
      <c r="A48" t="s">
        <v>5</v>
      </c>
      <c r="B48" t="s">
        <v>52</v>
      </c>
      <c r="C48" s="1">
        <v>42734</v>
      </c>
      <c r="D48">
        <v>114.34</v>
      </c>
      <c r="E48">
        <v>110.15</v>
      </c>
      <c r="F48">
        <v>3.8</v>
      </c>
    </row>
    <row r="49" spans="1:6" hidden="1" x14ac:dyDescent="0.45">
      <c r="A49" t="s">
        <v>5</v>
      </c>
      <c r="B49" t="s">
        <v>53</v>
      </c>
      <c r="C49" s="1">
        <v>42766</v>
      </c>
      <c r="D49">
        <v>119.57</v>
      </c>
      <c r="E49">
        <v>114.34</v>
      </c>
      <c r="F49">
        <v>4.57</v>
      </c>
    </row>
    <row r="50" spans="1:6" hidden="1" x14ac:dyDescent="0.45">
      <c r="A50" t="s">
        <v>5</v>
      </c>
      <c r="B50" t="s">
        <v>54</v>
      </c>
      <c r="C50" s="1">
        <v>42794</v>
      </c>
      <c r="D50">
        <v>133.71</v>
      </c>
      <c r="E50">
        <v>119.57</v>
      </c>
      <c r="F50">
        <v>11.83</v>
      </c>
    </row>
    <row r="51" spans="1:6" hidden="1" x14ac:dyDescent="0.45">
      <c r="A51" t="s">
        <v>5</v>
      </c>
      <c r="B51" t="s">
        <v>55</v>
      </c>
      <c r="C51" s="1">
        <v>42825</v>
      </c>
      <c r="D51">
        <v>140.62</v>
      </c>
      <c r="E51">
        <v>133.71</v>
      </c>
      <c r="F51">
        <v>5.17</v>
      </c>
    </row>
    <row r="52" spans="1:6" hidden="1" x14ac:dyDescent="0.45">
      <c r="A52" t="s">
        <v>5</v>
      </c>
      <c r="B52" t="s">
        <v>56</v>
      </c>
      <c r="C52" s="1">
        <v>42853</v>
      </c>
      <c r="D52">
        <v>142.88999999999999</v>
      </c>
      <c r="E52">
        <v>140.62</v>
      </c>
      <c r="F52">
        <v>1.61</v>
      </c>
    </row>
    <row r="53" spans="1:6" hidden="1" x14ac:dyDescent="0.45">
      <c r="A53" t="s">
        <v>5</v>
      </c>
      <c r="B53" t="s">
        <v>57</v>
      </c>
      <c r="C53" s="1">
        <v>42886</v>
      </c>
      <c r="D53">
        <v>152.22999999999999</v>
      </c>
      <c r="E53">
        <v>142.88999999999999</v>
      </c>
      <c r="F53">
        <v>6.54</v>
      </c>
    </row>
    <row r="54" spans="1:6" hidden="1" x14ac:dyDescent="0.45">
      <c r="A54" t="s">
        <v>5</v>
      </c>
      <c r="B54" t="s">
        <v>58</v>
      </c>
      <c r="C54" s="1">
        <v>42916</v>
      </c>
      <c r="D54">
        <v>147.83000000000001</v>
      </c>
      <c r="E54">
        <v>152.22999999999999</v>
      </c>
      <c r="F54">
        <v>-2.89</v>
      </c>
    </row>
    <row r="55" spans="1:6" hidden="1" x14ac:dyDescent="0.45">
      <c r="A55" t="s">
        <v>5</v>
      </c>
      <c r="B55" t="s">
        <v>59</v>
      </c>
      <c r="C55" s="1">
        <v>42947</v>
      </c>
      <c r="D55">
        <v>148.30000000000001</v>
      </c>
      <c r="E55">
        <v>147.83000000000001</v>
      </c>
      <c r="F55">
        <v>0.32</v>
      </c>
    </row>
    <row r="56" spans="1:6" hidden="1" x14ac:dyDescent="0.45">
      <c r="A56" t="s">
        <v>5</v>
      </c>
      <c r="B56" t="s">
        <v>60</v>
      </c>
      <c r="C56" s="1">
        <v>42978</v>
      </c>
      <c r="D56">
        <v>159.38999999999999</v>
      </c>
      <c r="E56">
        <v>148.30000000000001</v>
      </c>
      <c r="F56">
        <v>7.48</v>
      </c>
    </row>
    <row r="57" spans="1:6" hidden="1" x14ac:dyDescent="0.45">
      <c r="A57" t="s">
        <v>5</v>
      </c>
      <c r="B57" t="s">
        <v>61</v>
      </c>
      <c r="C57" s="1">
        <v>43007</v>
      </c>
      <c r="D57">
        <v>157.61000000000001</v>
      </c>
      <c r="E57">
        <v>159.38999999999999</v>
      </c>
      <c r="F57">
        <v>-1.1200000000000001</v>
      </c>
    </row>
    <row r="58" spans="1:6" hidden="1" x14ac:dyDescent="0.45">
      <c r="A58" t="s">
        <v>5</v>
      </c>
      <c r="B58" t="s">
        <v>62</v>
      </c>
      <c r="C58" s="1">
        <v>43039</v>
      </c>
      <c r="D58">
        <v>157.82</v>
      </c>
      <c r="E58">
        <v>157.61000000000001</v>
      </c>
      <c r="F58">
        <v>0.13</v>
      </c>
    </row>
    <row r="59" spans="1:6" hidden="1" x14ac:dyDescent="0.45">
      <c r="A59" t="s">
        <v>5</v>
      </c>
      <c r="B59" t="s">
        <v>63</v>
      </c>
      <c r="C59" s="1">
        <v>43069</v>
      </c>
      <c r="D59">
        <v>172.41</v>
      </c>
      <c r="E59">
        <v>157.82</v>
      </c>
      <c r="F59">
        <v>9.24</v>
      </c>
    </row>
    <row r="60" spans="1:6" hidden="1" x14ac:dyDescent="0.45">
      <c r="A60" t="s">
        <v>5</v>
      </c>
      <c r="B60" t="s">
        <v>64</v>
      </c>
      <c r="C60" s="1">
        <v>43098</v>
      </c>
      <c r="D60">
        <v>171.89</v>
      </c>
      <c r="E60">
        <v>172.41</v>
      </c>
      <c r="F60">
        <v>-0.3</v>
      </c>
    </row>
    <row r="61" spans="1:6" hidden="1" x14ac:dyDescent="0.45">
      <c r="A61" t="s">
        <v>5</v>
      </c>
      <c r="B61" t="s">
        <v>65</v>
      </c>
      <c r="C61" s="1">
        <v>43131</v>
      </c>
      <c r="D61">
        <v>174.01</v>
      </c>
      <c r="E61">
        <v>171.89</v>
      </c>
      <c r="F61">
        <v>1.23</v>
      </c>
    </row>
    <row r="62" spans="1:6" hidden="1" x14ac:dyDescent="0.45">
      <c r="A62" t="s">
        <v>5</v>
      </c>
      <c r="B62" t="s">
        <v>66</v>
      </c>
      <c r="C62" s="1">
        <v>43138</v>
      </c>
      <c r="D62">
        <v>161.47</v>
      </c>
      <c r="E62">
        <v>174.01</v>
      </c>
      <c r="F62">
        <v>-7.21</v>
      </c>
    </row>
    <row r="63" spans="1:6" hidden="1" x14ac:dyDescent="0.45">
      <c r="A63" t="s">
        <v>67</v>
      </c>
      <c r="B63" t="s">
        <v>6</v>
      </c>
      <c r="C63" s="1">
        <v>41333</v>
      </c>
      <c r="D63">
        <v>264</v>
      </c>
    </row>
    <row r="64" spans="1:6" hidden="1" x14ac:dyDescent="0.45">
      <c r="A64" t="s">
        <v>67</v>
      </c>
      <c r="B64" t="s">
        <v>7</v>
      </c>
      <c r="C64" s="1">
        <v>41361</v>
      </c>
      <c r="D64">
        <v>265.76</v>
      </c>
      <c r="E64">
        <v>264</v>
      </c>
      <c r="F64">
        <v>0.67</v>
      </c>
    </row>
    <row r="65" spans="1:6" hidden="1" x14ac:dyDescent="0.45">
      <c r="A65" t="s">
        <v>67</v>
      </c>
      <c r="B65" t="s">
        <v>8</v>
      </c>
      <c r="C65" s="1">
        <v>41394</v>
      </c>
      <c r="D65">
        <v>263.07</v>
      </c>
      <c r="E65">
        <v>265.76</v>
      </c>
      <c r="F65">
        <v>-1.01</v>
      </c>
    </row>
    <row r="66" spans="1:6" hidden="1" x14ac:dyDescent="0.45">
      <c r="A66" t="s">
        <v>67</v>
      </c>
      <c r="B66" t="s">
        <v>9</v>
      </c>
      <c r="C66" s="1">
        <v>41425</v>
      </c>
      <c r="D66">
        <v>262.73</v>
      </c>
      <c r="E66">
        <v>263.07</v>
      </c>
      <c r="F66">
        <v>-0.13</v>
      </c>
    </row>
    <row r="67" spans="1:6" hidden="1" x14ac:dyDescent="0.45">
      <c r="A67" t="s">
        <v>67</v>
      </c>
      <c r="B67" t="s">
        <v>10</v>
      </c>
      <c r="C67" s="1">
        <v>41453</v>
      </c>
      <c r="D67">
        <v>274.10000000000002</v>
      </c>
      <c r="E67">
        <v>262.73</v>
      </c>
      <c r="F67">
        <v>4.33</v>
      </c>
    </row>
    <row r="68" spans="1:6" hidden="1" x14ac:dyDescent="0.45">
      <c r="A68" t="s">
        <v>67</v>
      </c>
      <c r="B68" t="s">
        <v>11</v>
      </c>
      <c r="C68" s="1">
        <v>41486</v>
      </c>
      <c r="D68">
        <v>298.98</v>
      </c>
      <c r="E68">
        <v>274.10000000000002</v>
      </c>
      <c r="F68">
        <v>9.08</v>
      </c>
    </row>
    <row r="69" spans="1:6" hidden="1" x14ac:dyDescent="0.45">
      <c r="A69" t="s">
        <v>67</v>
      </c>
      <c r="B69" t="s">
        <v>12</v>
      </c>
      <c r="C69" s="1">
        <v>41516</v>
      </c>
      <c r="D69">
        <v>291.14999999999998</v>
      </c>
      <c r="E69">
        <v>298.98</v>
      </c>
      <c r="F69">
        <v>-2.62</v>
      </c>
    </row>
    <row r="70" spans="1:6" hidden="1" x14ac:dyDescent="0.45">
      <c r="A70" t="s">
        <v>67</v>
      </c>
      <c r="B70" t="s">
        <v>13</v>
      </c>
      <c r="C70" s="1">
        <v>41547</v>
      </c>
      <c r="D70">
        <v>304.73</v>
      </c>
      <c r="E70">
        <v>291.14999999999998</v>
      </c>
      <c r="F70">
        <v>4.66</v>
      </c>
    </row>
    <row r="71" spans="1:6" hidden="1" x14ac:dyDescent="0.45">
      <c r="A71" t="s">
        <v>67</v>
      </c>
      <c r="B71" t="s">
        <v>14</v>
      </c>
      <c r="C71" s="1">
        <v>41578</v>
      </c>
      <c r="D71">
        <v>325.97000000000003</v>
      </c>
      <c r="E71">
        <v>304.73</v>
      </c>
      <c r="F71">
        <v>6.97</v>
      </c>
    </row>
    <row r="72" spans="1:6" hidden="1" x14ac:dyDescent="0.45">
      <c r="A72" t="s">
        <v>67</v>
      </c>
      <c r="B72" t="s">
        <v>15</v>
      </c>
      <c r="C72" s="1">
        <v>41607</v>
      </c>
      <c r="D72">
        <v>364.83</v>
      </c>
      <c r="E72">
        <v>325.97000000000003</v>
      </c>
      <c r="F72">
        <v>11.92</v>
      </c>
    </row>
    <row r="73" spans="1:6" hidden="1" x14ac:dyDescent="0.45">
      <c r="A73" t="s">
        <v>67</v>
      </c>
      <c r="B73" t="s">
        <v>16</v>
      </c>
      <c r="C73" s="1">
        <v>41639</v>
      </c>
      <c r="D73">
        <v>391.5</v>
      </c>
      <c r="E73">
        <v>364.83</v>
      </c>
      <c r="F73">
        <v>7.31</v>
      </c>
    </row>
    <row r="74" spans="1:6" hidden="1" x14ac:dyDescent="0.45">
      <c r="A74" t="s">
        <v>67</v>
      </c>
      <c r="B74" t="s">
        <v>17</v>
      </c>
      <c r="C74" s="1">
        <v>41670</v>
      </c>
      <c r="D74">
        <v>394.86</v>
      </c>
      <c r="E74">
        <v>391.5</v>
      </c>
      <c r="F74">
        <v>0.86</v>
      </c>
    </row>
    <row r="75" spans="1:6" hidden="1" x14ac:dyDescent="0.45">
      <c r="A75" t="s">
        <v>67</v>
      </c>
      <c r="B75" t="s">
        <v>18</v>
      </c>
      <c r="C75" s="1">
        <v>41698</v>
      </c>
      <c r="D75">
        <v>354.34</v>
      </c>
      <c r="E75">
        <v>394.86</v>
      </c>
      <c r="F75">
        <v>-10.26</v>
      </c>
    </row>
    <row r="76" spans="1:6" hidden="1" x14ac:dyDescent="0.45">
      <c r="A76" t="s">
        <v>67</v>
      </c>
      <c r="B76" t="s">
        <v>19</v>
      </c>
      <c r="C76" s="1">
        <v>41729</v>
      </c>
      <c r="D76">
        <v>362.63</v>
      </c>
      <c r="E76">
        <v>354.34</v>
      </c>
      <c r="F76">
        <v>2.34</v>
      </c>
    </row>
    <row r="77" spans="1:6" hidden="1" x14ac:dyDescent="0.45">
      <c r="A77" t="s">
        <v>67</v>
      </c>
      <c r="B77" t="s">
        <v>20</v>
      </c>
      <c r="C77" s="1">
        <v>41759</v>
      </c>
      <c r="D77">
        <v>321.64</v>
      </c>
      <c r="E77">
        <v>362.63</v>
      </c>
      <c r="F77">
        <v>-11.3</v>
      </c>
    </row>
    <row r="78" spans="1:6" hidden="1" x14ac:dyDescent="0.45">
      <c r="A78" t="s">
        <v>67</v>
      </c>
      <c r="B78" t="s">
        <v>21</v>
      </c>
      <c r="C78" s="1">
        <v>41789</v>
      </c>
      <c r="D78">
        <v>302.95</v>
      </c>
      <c r="E78">
        <v>321.64</v>
      </c>
      <c r="F78">
        <v>-5.81</v>
      </c>
    </row>
    <row r="79" spans="1:6" hidden="1" x14ac:dyDescent="0.45">
      <c r="A79" t="s">
        <v>67</v>
      </c>
      <c r="B79" t="s">
        <v>22</v>
      </c>
      <c r="C79" s="1">
        <v>41820</v>
      </c>
      <c r="D79">
        <v>324.57</v>
      </c>
      <c r="E79">
        <v>302.95</v>
      </c>
      <c r="F79">
        <v>7.14</v>
      </c>
    </row>
    <row r="80" spans="1:6" hidden="1" x14ac:dyDescent="0.45">
      <c r="A80" t="s">
        <v>67</v>
      </c>
      <c r="B80" t="s">
        <v>23</v>
      </c>
      <c r="C80" s="1">
        <v>41851</v>
      </c>
      <c r="D80">
        <v>339.92</v>
      </c>
      <c r="E80">
        <v>324.57</v>
      </c>
      <c r="F80">
        <v>4.7300000000000004</v>
      </c>
    </row>
    <row r="81" spans="1:6" hidden="1" x14ac:dyDescent="0.45">
      <c r="A81" t="s">
        <v>67</v>
      </c>
      <c r="B81" t="s">
        <v>24</v>
      </c>
      <c r="C81" s="1">
        <v>41880</v>
      </c>
      <c r="D81">
        <v>327.33</v>
      </c>
      <c r="E81">
        <v>339.92</v>
      </c>
      <c r="F81">
        <v>-3.7</v>
      </c>
    </row>
    <row r="82" spans="1:6" hidden="1" x14ac:dyDescent="0.45">
      <c r="A82" t="s">
        <v>67</v>
      </c>
      <c r="B82" t="s">
        <v>25</v>
      </c>
      <c r="C82" s="1">
        <v>41912</v>
      </c>
      <c r="D82">
        <v>330.31</v>
      </c>
      <c r="E82">
        <v>327.33</v>
      </c>
      <c r="F82">
        <v>0.91</v>
      </c>
    </row>
    <row r="83" spans="1:6" hidden="1" x14ac:dyDescent="0.45">
      <c r="A83" t="s">
        <v>67</v>
      </c>
      <c r="B83" t="s">
        <v>26</v>
      </c>
      <c r="C83" s="1">
        <v>41943</v>
      </c>
      <c r="D83">
        <v>308.41000000000003</v>
      </c>
      <c r="E83">
        <v>330.31</v>
      </c>
      <c r="F83">
        <v>-6.63</v>
      </c>
    </row>
    <row r="84" spans="1:6" hidden="1" x14ac:dyDescent="0.45">
      <c r="A84" t="s">
        <v>67</v>
      </c>
      <c r="B84" t="s">
        <v>27</v>
      </c>
      <c r="C84" s="1">
        <v>41971</v>
      </c>
      <c r="D84">
        <v>318.69</v>
      </c>
      <c r="E84">
        <v>308.41000000000003</v>
      </c>
      <c r="F84">
        <v>3.33</v>
      </c>
    </row>
    <row r="85" spans="1:6" hidden="1" x14ac:dyDescent="0.45">
      <c r="A85" t="s">
        <v>67</v>
      </c>
      <c r="B85" t="s">
        <v>28</v>
      </c>
      <c r="C85" s="1">
        <v>42004</v>
      </c>
      <c r="D85">
        <v>308.79000000000002</v>
      </c>
      <c r="E85">
        <v>318.69</v>
      </c>
      <c r="F85">
        <v>-3.11</v>
      </c>
    </row>
    <row r="86" spans="1:6" hidden="1" x14ac:dyDescent="0.45">
      <c r="A86" t="s">
        <v>67</v>
      </c>
      <c r="B86" t="s">
        <v>29</v>
      </c>
      <c r="C86" s="1">
        <v>42034</v>
      </c>
      <c r="D86">
        <v>302.75</v>
      </c>
      <c r="E86">
        <v>308.79000000000002</v>
      </c>
      <c r="F86">
        <v>-1.96</v>
      </c>
    </row>
    <row r="87" spans="1:6" hidden="1" x14ac:dyDescent="0.45">
      <c r="A87" t="s">
        <v>67</v>
      </c>
      <c r="B87" t="s">
        <v>30</v>
      </c>
      <c r="C87" s="1">
        <v>42062</v>
      </c>
      <c r="D87">
        <v>375.74</v>
      </c>
      <c r="E87">
        <v>302.75</v>
      </c>
      <c r="F87">
        <v>24.11</v>
      </c>
    </row>
    <row r="88" spans="1:6" hidden="1" x14ac:dyDescent="0.45">
      <c r="A88" t="s">
        <v>67</v>
      </c>
      <c r="B88" t="s">
        <v>31</v>
      </c>
      <c r="C88" s="1">
        <v>42094</v>
      </c>
      <c r="D88">
        <v>375.32</v>
      </c>
      <c r="E88">
        <v>375.74</v>
      </c>
      <c r="F88">
        <v>-0.11</v>
      </c>
    </row>
    <row r="89" spans="1:6" hidden="1" x14ac:dyDescent="0.45">
      <c r="A89" t="s">
        <v>67</v>
      </c>
      <c r="B89" t="s">
        <v>32</v>
      </c>
      <c r="C89" s="1">
        <v>42124</v>
      </c>
      <c r="D89">
        <v>394.21</v>
      </c>
      <c r="E89">
        <v>375.32</v>
      </c>
      <c r="F89">
        <v>5.03</v>
      </c>
    </row>
    <row r="90" spans="1:6" hidden="1" x14ac:dyDescent="0.45">
      <c r="A90" t="s">
        <v>67</v>
      </c>
      <c r="B90" t="s">
        <v>33</v>
      </c>
      <c r="C90" s="1">
        <v>42153</v>
      </c>
      <c r="D90">
        <v>426.93</v>
      </c>
      <c r="E90">
        <v>394.21</v>
      </c>
      <c r="F90">
        <v>8.3000000000000007</v>
      </c>
    </row>
    <row r="91" spans="1:6" hidden="1" x14ac:dyDescent="0.45">
      <c r="A91" t="s">
        <v>67</v>
      </c>
      <c r="B91" t="s">
        <v>34</v>
      </c>
      <c r="C91" s="1">
        <v>42185</v>
      </c>
      <c r="D91">
        <v>432.6</v>
      </c>
      <c r="E91">
        <v>426.93</v>
      </c>
      <c r="F91">
        <v>1.33</v>
      </c>
    </row>
    <row r="92" spans="1:6" hidden="1" x14ac:dyDescent="0.45">
      <c r="A92" t="s">
        <v>67</v>
      </c>
      <c r="B92" t="s">
        <v>35</v>
      </c>
      <c r="C92" s="1">
        <v>42216</v>
      </c>
      <c r="D92">
        <v>478.71</v>
      </c>
      <c r="E92">
        <v>432.6</v>
      </c>
      <c r="F92">
        <v>10.66</v>
      </c>
    </row>
    <row r="93" spans="1:6" hidden="1" x14ac:dyDescent="0.45">
      <c r="A93" t="s">
        <v>67</v>
      </c>
      <c r="B93" t="s">
        <v>36</v>
      </c>
      <c r="C93" s="1">
        <v>42247</v>
      </c>
      <c r="D93">
        <v>518.46</v>
      </c>
      <c r="E93">
        <v>478.71</v>
      </c>
      <c r="F93">
        <v>8.3000000000000007</v>
      </c>
    </row>
    <row r="94" spans="1:6" hidden="1" x14ac:dyDescent="0.45">
      <c r="A94" t="s">
        <v>67</v>
      </c>
      <c r="B94" t="s">
        <v>37</v>
      </c>
      <c r="C94" s="1">
        <v>42277</v>
      </c>
      <c r="D94">
        <v>520.96</v>
      </c>
      <c r="E94">
        <v>518.46</v>
      </c>
      <c r="F94">
        <v>0.48</v>
      </c>
    </row>
    <row r="95" spans="1:6" hidden="1" x14ac:dyDescent="0.45">
      <c r="A95" t="s">
        <v>67</v>
      </c>
      <c r="B95" t="s">
        <v>38</v>
      </c>
      <c r="C95" s="1">
        <v>42307</v>
      </c>
      <c r="D95">
        <v>566.74</v>
      </c>
      <c r="E95">
        <v>520.96</v>
      </c>
      <c r="F95">
        <v>8.7899999999999991</v>
      </c>
    </row>
    <row r="96" spans="1:6" hidden="1" x14ac:dyDescent="0.45">
      <c r="A96" t="s">
        <v>67</v>
      </c>
      <c r="B96" t="s">
        <v>39</v>
      </c>
      <c r="C96" s="1">
        <v>42338</v>
      </c>
      <c r="D96">
        <v>657.7</v>
      </c>
      <c r="E96">
        <v>566.74</v>
      </c>
      <c r="F96">
        <v>16.05</v>
      </c>
    </row>
    <row r="97" spans="1:6" hidden="1" x14ac:dyDescent="0.45">
      <c r="A97" t="s">
        <v>67</v>
      </c>
      <c r="B97" t="s">
        <v>40</v>
      </c>
      <c r="C97" s="1">
        <v>42369</v>
      </c>
      <c r="D97">
        <v>669.26</v>
      </c>
      <c r="E97">
        <v>657.7</v>
      </c>
      <c r="F97">
        <v>1.76</v>
      </c>
    </row>
    <row r="98" spans="1:6" hidden="1" x14ac:dyDescent="0.45">
      <c r="A98" t="s">
        <v>67</v>
      </c>
      <c r="B98" t="s">
        <v>41</v>
      </c>
      <c r="C98" s="1">
        <v>42398</v>
      </c>
      <c r="D98">
        <v>601.05999999999995</v>
      </c>
      <c r="E98">
        <v>669.26</v>
      </c>
      <c r="F98">
        <v>-10.19</v>
      </c>
    </row>
    <row r="99" spans="1:6" hidden="1" x14ac:dyDescent="0.45">
      <c r="A99" t="s">
        <v>67</v>
      </c>
      <c r="B99" t="s">
        <v>42</v>
      </c>
      <c r="C99" s="1">
        <v>42429</v>
      </c>
      <c r="D99">
        <v>530.62</v>
      </c>
      <c r="E99">
        <v>601.05999999999995</v>
      </c>
      <c r="F99">
        <v>-11.72</v>
      </c>
    </row>
    <row r="100" spans="1:6" hidden="1" x14ac:dyDescent="0.45">
      <c r="A100" t="s">
        <v>67</v>
      </c>
      <c r="B100" t="s">
        <v>43</v>
      </c>
      <c r="C100" s="1">
        <v>42460</v>
      </c>
      <c r="D100">
        <v>572.37</v>
      </c>
      <c r="E100">
        <v>530.62</v>
      </c>
      <c r="F100">
        <v>7.87</v>
      </c>
    </row>
    <row r="101" spans="1:6" hidden="1" x14ac:dyDescent="0.45">
      <c r="A101" t="s">
        <v>67</v>
      </c>
      <c r="B101" t="s">
        <v>44</v>
      </c>
      <c r="C101" s="1">
        <v>42489</v>
      </c>
      <c r="D101">
        <v>613.59</v>
      </c>
      <c r="E101">
        <v>572.37</v>
      </c>
      <c r="F101">
        <v>7.2</v>
      </c>
    </row>
    <row r="102" spans="1:6" hidden="1" x14ac:dyDescent="0.45">
      <c r="A102" t="s">
        <v>67</v>
      </c>
      <c r="B102" t="s">
        <v>45</v>
      </c>
      <c r="C102" s="1">
        <v>42521</v>
      </c>
      <c r="D102">
        <v>697.47</v>
      </c>
      <c r="E102">
        <v>613.59</v>
      </c>
      <c r="F102">
        <v>13.67</v>
      </c>
    </row>
    <row r="103" spans="1:6" hidden="1" x14ac:dyDescent="0.45">
      <c r="A103" t="s">
        <v>67</v>
      </c>
      <c r="B103" t="s">
        <v>46</v>
      </c>
      <c r="C103" s="1">
        <v>42551</v>
      </c>
      <c r="D103">
        <v>716.39</v>
      </c>
      <c r="E103">
        <v>697.47</v>
      </c>
      <c r="F103">
        <v>2.71</v>
      </c>
    </row>
    <row r="104" spans="1:6" hidden="1" x14ac:dyDescent="0.45">
      <c r="A104" t="s">
        <v>67</v>
      </c>
      <c r="B104" t="s">
        <v>47</v>
      </c>
      <c r="C104" s="1">
        <v>42580</v>
      </c>
      <c r="D104">
        <v>741.47</v>
      </c>
      <c r="E104">
        <v>716.39</v>
      </c>
      <c r="F104">
        <v>3.5</v>
      </c>
    </row>
    <row r="105" spans="1:6" hidden="1" x14ac:dyDescent="0.45">
      <c r="A105" t="s">
        <v>67</v>
      </c>
      <c r="B105" t="s">
        <v>48</v>
      </c>
      <c r="C105" s="1">
        <v>42613</v>
      </c>
      <c r="D105">
        <v>764.84</v>
      </c>
      <c r="E105">
        <v>741.47</v>
      </c>
      <c r="F105">
        <v>3.15</v>
      </c>
    </row>
    <row r="106" spans="1:6" hidden="1" x14ac:dyDescent="0.45">
      <c r="A106" t="s">
        <v>67</v>
      </c>
      <c r="B106" t="s">
        <v>49</v>
      </c>
      <c r="C106" s="1">
        <v>42643</v>
      </c>
      <c r="D106">
        <v>788.97</v>
      </c>
      <c r="E106">
        <v>764.84</v>
      </c>
      <c r="F106">
        <v>3.15</v>
      </c>
    </row>
    <row r="107" spans="1:6" hidden="1" x14ac:dyDescent="0.45">
      <c r="A107" t="s">
        <v>67</v>
      </c>
      <c r="B107" t="s">
        <v>50</v>
      </c>
      <c r="C107" s="1">
        <v>42674</v>
      </c>
      <c r="D107">
        <v>824.44</v>
      </c>
      <c r="E107">
        <v>788.97</v>
      </c>
      <c r="F107">
        <v>4.5</v>
      </c>
    </row>
    <row r="108" spans="1:6" hidden="1" x14ac:dyDescent="0.45">
      <c r="A108" t="s">
        <v>67</v>
      </c>
      <c r="B108" t="s">
        <v>51</v>
      </c>
      <c r="C108" s="1">
        <v>42704</v>
      </c>
      <c r="D108">
        <v>763.34</v>
      </c>
      <c r="E108">
        <v>824.44</v>
      </c>
      <c r="F108">
        <v>-7.41</v>
      </c>
    </row>
    <row r="109" spans="1:6" hidden="1" x14ac:dyDescent="0.45">
      <c r="A109" t="s">
        <v>67</v>
      </c>
      <c r="B109" t="s">
        <v>52</v>
      </c>
      <c r="C109" s="1">
        <v>42734</v>
      </c>
      <c r="D109">
        <v>763.33</v>
      </c>
      <c r="E109">
        <v>763.34</v>
      </c>
      <c r="F109">
        <v>0</v>
      </c>
    </row>
    <row r="110" spans="1:6" hidden="1" x14ac:dyDescent="0.45">
      <c r="A110" t="s">
        <v>67</v>
      </c>
      <c r="B110" t="s">
        <v>53</v>
      </c>
      <c r="C110" s="1">
        <v>42766</v>
      </c>
      <c r="D110">
        <v>807.5</v>
      </c>
      <c r="E110">
        <v>763.33</v>
      </c>
      <c r="F110">
        <v>5.79</v>
      </c>
    </row>
    <row r="111" spans="1:6" hidden="1" x14ac:dyDescent="0.45">
      <c r="A111" t="s">
        <v>67</v>
      </c>
      <c r="B111" t="s">
        <v>54</v>
      </c>
      <c r="C111" s="1">
        <v>42794</v>
      </c>
      <c r="D111">
        <v>835.75</v>
      </c>
      <c r="E111">
        <v>807.5</v>
      </c>
      <c r="F111">
        <v>3.5</v>
      </c>
    </row>
    <row r="112" spans="1:6" hidden="1" x14ac:dyDescent="0.45">
      <c r="A112" t="s">
        <v>67</v>
      </c>
      <c r="B112" t="s">
        <v>55</v>
      </c>
      <c r="C112" s="1">
        <v>42825</v>
      </c>
      <c r="D112">
        <v>854.24</v>
      </c>
      <c r="E112">
        <v>835.75</v>
      </c>
      <c r="F112">
        <v>2.21</v>
      </c>
    </row>
    <row r="113" spans="1:6" hidden="1" x14ac:dyDescent="0.45">
      <c r="A113" t="s">
        <v>67</v>
      </c>
      <c r="B113" t="s">
        <v>56</v>
      </c>
      <c r="C113" s="1">
        <v>42853</v>
      </c>
      <c r="D113">
        <v>903.39</v>
      </c>
      <c r="E113">
        <v>854.24</v>
      </c>
      <c r="F113">
        <v>5.75</v>
      </c>
    </row>
    <row r="114" spans="1:6" hidden="1" x14ac:dyDescent="0.45">
      <c r="A114" t="s">
        <v>67</v>
      </c>
      <c r="B114" t="s">
        <v>57</v>
      </c>
      <c r="C114" s="1">
        <v>42886</v>
      </c>
      <c r="D114">
        <v>961.72</v>
      </c>
      <c r="E114">
        <v>903.39</v>
      </c>
      <c r="F114">
        <v>6.46</v>
      </c>
    </row>
    <row r="115" spans="1:6" hidden="1" x14ac:dyDescent="0.45">
      <c r="A115" t="s">
        <v>67</v>
      </c>
      <c r="B115" t="s">
        <v>58</v>
      </c>
      <c r="C115" s="1">
        <v>42916</v>
      </c>
      <c r="D115">
        <v>990.44</v>
      </c>
      <c r="E115">
        <v>961.72</v>
      </c>
      <c r="F115">
        <v>2.99</v>
      </c>
    </row>
    <row r="116" spans="1:6" hidden="1" x14ac:dyDescent="0.45">
      <c r="A116" t="s">
        <v>67</v>
      </c>
      <c r="B116" t="s">
        <v>59</v>
      </c>
      <c r="C116" s="1">
        <v>42947</v>
      </c>
      <c r="D116">
        <v>1008.48</v>
      </c>
      <c r="E116">
        <v>990.44</v>
      </c>
      <c r="F116">
        <v>1.82</v>
      </c>
    </row>
    <row r="117" spans="1:6" hidden="1" x14ac:dyDescent="0.45">
      <c r="A117" t="s">
        <v>67</v>
      </c>
      <c r="B117" t="s">
        <v>60</v>
      </c>
      <c r="C117" s="1">
        <v>42978</v>
      </c>
      <c r="D117">
        <v>971.27</v>
      </c>
      <c r="E117">
        <v>1008.48</v>
      </c>
      <c r="F117">
        <v>-3.69</v>
      </c>
    </row>
    <row r="118" spans="1:6" hidden="1" x14ac:dyDescent="0.45">
      <c r="A118" t="s">
        <v>67</v>
      </c>
      <c r="B118" t="s">
        <v>61</v>
      </c>
      <c r="C118" s="1">
        <v>43007</v>
      </c>
      <c r="D118">
        <v>968.99</v>
      </c>
      <c r="E118">
        <v>971.27</v>
      </c>
      <c r="F118">
        <v>-0.23</v>
      </c>
    </row>
    <row r="119" spans="1:6" hidden="1" x14ac:dyDescent="0.45">
      <c r="A119" t="s">
        <v>67</v>
      </c>
      <c r="B119" t="s">
        <v>62</v>
      </c>
      <c r="C119" s="1">
        <v>43039</v>
      </c>
      <c r="D119">
        <v>1000.72</v>
      </c>
      <c r="E119">
        <v>968.99</v>
      </c>
      <c r="F119">
        <v>3.27</v>
      </c>
    </row>
    <row r="120" spans="1:6" hidden="1" x14ac:dyDescent="0.45">
      <c r="A120" t="s">
        <v>67</v>
      </c>
      <c r="B120" t="s">
        <v>63</v>
      </c>
      <c r="C120" s="1">
        <v>43069</v>
      </c>
      <c r="D120">
        <v>1139.81</v>
      </c>
      <c r="E120">
        <v>1000.72</v>
      </c>
      <c r="F120">
        <v>13.9</v>
      </c>
    </row>
    <row r="121" spans="1:6" hidden="1" x14ac:dyDescent="0.45">
      <c r="A121" t="s">
        <v>67</v>
      </c>
      <c r="B121" t="s">
        <v>64</v>
      </c>
      <c r="C121" s="1">
        <v>43098</v>
      </c>
      <c r="D121">
        <v>1168.8399999999999</v>
      </c>
      <c r="E121">
        <v>1139.81</v>
      </c>
      <c r="F121">
        <v>2.5499999999999998</v>
      </c>
    </row>
    <row r="122" spans="1:6" hidden="1" x14ac:dyDescent="0.45">
      <c r="A122" t="s">
        <v>67</v>
      </c>
      <c r="B122" t="s">
        <v>65</v>
      </c>
      <c r="C122" s="1">
        <v>43131</v>
      </c>
      <c r="D122">
        <v>1309.01</v>
      </c>
      <c r="E122">
        <v>1168.8399999999999</v>
      </c>
      <c r="F122">
        <v>11.99</v>
      </c>
    </row>
    <row r="123" spans="1:6" hidden="1" x14ac:dyDescent="0.45">
      <c r="A123" t="s">
        <v>67</v>
      </c>
      <c r="B123" t="s">
        <v>66</v>
      </c>
      <c r="C123" s="1">
        <v>43138</v>
      </c>
      <c r="D123">
        <v>1413.91</v>
      </c>
      <c r="E123">
        <v>1309.01</v>
      </c>
      <c r="F123">
        <v>8.01</v>
      </c>
    </row>
    <row r="124" spans="1:6" hidden="1" x14ac:dyDescent="0.45">
      <c r="A124" t="s">
        <v>68</v>
      </c>
      <c r="B124" t="s">
        <v>6</v>
      </c>
      <c r="C124" s="1">
        <v>41333</v>
      </c>
      <c r="D124">
        <v>396.41</v>
      </c>
    </row>
    <row r="125" spans="1:6" hidden="1" x14ac:dyDescent="0.45">
      <c r="A125" t="s">
        <v>68</v>
      </c>
      <c r="B125" t="s">
        <v>7</v>
      </c>
      <c r="C125" s="1">
        <v>41361</v>
      </c>
      <c r="D125">
        <v>409.4</v>
      </c>
      <c r="E125">
        <v>396.41</v>
      </c>
      <c r="F125">
        <v>3.28</v>
      </c>
    </row>
    <row r="126" spans="1:6" hidden="1" x14ac:dyDescent="0.45">
      <c r="A126" t="s">
        <v>68</v>
      </c>
      <c r="B126" t="s">
        <v>8</v>
      </c>
      <c r="C126" s="1">
        <v>41394</v>
      </c>
      <c r="D126">
        <v>398.6</v>
      </c>
      <c r="E126">
        <v>409.4</v>
      </c>
      <c r="F126">
        <v>-2.64</v>
      </c>
    </row>
    <row r="127" spans="1:6" hidden="1" x14ac:dyDescent="0.45">
      <c r="A127" t="s">
        <v>68</v>
      </c>
      <c r="B127" t="s">
        <v>9</v>
      </c>
      <c r="C127" s="1">
        <v>41425</v>
      </c>
      <c r="D127">
        <v>438.76</v>
      </c>
      <c r="E127">
        <v>398.6</v>
      </c>
      <c r="F127">
        <v>10.08</v>
      </c>
    </row>
    <row r="128" spans="1:6" hidden="1" x14ac:dyDescent="0.45">
      <c r="A128" t="s">
        <v>68</v>
      </c>
      <c r="B128" t="s">
        <v>10</v>
      </c>
      <c r="C128" s="1">
        <v>41453</v>
      </c>
      <c r="D128">
        <v>439.07</v>
      </c>
      <c r="E128">
        <v>438.76</v>
      </c>
      <c r="F128">
        <v>7.0000000000000007E-2</v>
      </c>
    </row>
    <row r="129" spans="1:6" hidden="1" x14ac:dyDescent="0.45">
      <c r="A129" t="s">
        <v>68</v>
      </c>
      <c r="B129" t="s">
        <v>11</v>
      </c>
      <c r="C129" s="1">
        <v>41486</v>
      </c>
      <c r="D129">
        <v>451.16</v>
      </c>
      <c r="E129">
        <v>439.07</v>
      </c>
      <c r="F129">
        <v>2.75</v>
      </c>
    </row>
    <row r="130" spans="1:6" hidden="1" x14ac:dyDescent="0.45">
      <c r="A130" t="s">
        <v>68</v>
      </c>
      <c r="B130" t="s">
        <v>12</v>
      </c>
      <c r="C130" s="1">
        <v>41516</v>
      </c>
      <c r="D130">
        <v>437.96</v>
      </c>
      <c r="E130">
        <v>451.16</v>
      </c>
      <c r="F130">
        <v>-2.93</v>
      </c>
    </row>
    <row r="131" spans="1:6" hidden="1" x14ac:dyDescent="0.45">
      <c r="A131" t="s">
        <v>68</v>
      </c>
      <c r="B131" t="s">
        <v>13</v>
      </c>
      <c r="C131" s="1">
        <v>41547</v>
      </c>
      <c r="D131">
        <v>443.09</v>
      </c>
      <c r="E131">
        <v>437.96</v>
      </c>
      <c r="F131">
        <v>1.17</v>
      </c>
    </row>
    <row r="132" spans="1:6" hidden="1" x14ac:dyDescent="0.45">
      <c r="A132" t="s">
        <v>68</v>
      </c>
      <c r="B132" t="s">
        <v>14</v>
      </c>
      <c r="C132" s="1">
        <v>41578</v>
      </c>
      <c r="D132">
        <v>469.82</v>
      </c>
      <c r="E132">
        <v>443.09</v>
      </c>
      <c r="F132">
        <v>6.03</v>
      </c>
    </row>
    <row r="133" spans="1:6" hidden="1" x14ac:dyDescent="0.45">
      <c r="A133" t="s">
        <v>68</v>
      </c>
      <c r="B133" t="s">
        <v>15</v>
      </c>
      <c r="C133" s="1">
        <v>41607</v>
      </c>
      <c r="D133">
        <v>515.94000000000005</v>
      </c>
      <c r="E133">
        <v>469.82</v>
      </c>
      <c r="F133">
        <v>9.82</v>
      </c>
    </row>
    <row r="134" spans="1:6" hidden="1" x14ac:dyDescent="0.45">
      <c r="A134" t="s">
        <v>68</v>
      </c>
      <c r="B134" t="s">
        <v>16</v>
      </c>
      <c r="C134" s="1">
        <v>41639</v>
      </c>
      <c r="D134">
        <v>542.72</v>
      </c>
      <c r="E134">
        <v>515.94000000000005</v>
      </c>
      <c r="F134">
        <v>5.19</v>
      </c>
    </row>
    <row r="135" spans="1:6" hidden="1" x14ac:dyDescent="0.45">
      <c r="A135" t="s">
        <v>68</v>
      </c>
      <c r="B135" t="s">
        <v>17</v>
      </c>
      <c r="C135" s="1">
        <v>41670</v>
      </c>
      <c r="D135">
        <v>568.76</v>
      </c>
      <c r="E135">
        <v>542.72</v>
      </c>
      <c r="F135">
        <v>4.8</v>
      </c>
    </row>
    <row r="136" spans="1:6" hidden="1" x14ac:dyDescent="0.45">
      <c r="A136" t="s">
        <v>68</v>
      </c>
      <c r="B136" t="s">
        <v>18</v>
      </c>
      <c r="C136" s="1">
        <v>41698</v>
      </c>
      <c r="D136">
        <v>595.67999999999995</v>
      </c>
      <c r="E136">
        <v>568.76</v>
      </c>
      <c r="F136">
        <v>4.7300000000000004</v>
      </c>
    </row>
    <row r="137" spans="1:6" hidden="1" x14ac:dyDescent="0.45">
      <c r="A137" t="s">
        <v>68</v>
      </c>
      <c r="B137" t="s">
        <v>19</v>
      </c>
      <c r="C137" s="1">
        <v>41729</v>
      </c>
      <c r="D137">
        <v>591.80999999999995</v>
      </c>
      <c r="E137">
        <v>595.67999999999995</v>
      </c>
      <c r="F137">
        <v>-0.65</v>
      </c>
    </row>
    <row r="138" spans="1:6" hidden="1" x14ac:dyDescent="0.45">
      <c r="A138" t="s">
        <v>68</v>
      </c>
      <c r="B138" t="s">
        <v>20</v>
      </c>
      <c r="C138" s="1">
        <v>41759</v>
      </c>
      <c r="D138">
        <v>546.55999999999995</v>
      </c>
      <c r="E138">
        <v>591.80999999999995</v>
      </c>
      <c r="F138">
        <v>-7.65</v>
      </c>
    </row>
    <row r="139" spans="1:6" hidden="1" x14ac:dyDescent="0.45">
      <c r="A139" t="s">
        <v>68</v>
      </c>
      <c r="B139" t="s">
        <v>21</v>
      </c>
      <c r="C139" s="1">
        <v>41789</v>
      </c>
      <c r="D139">
        <v>542.98</v>
      </c>
      <c r="E139">
        <v>546.55999999999995</v>
      </c>
      <c r="F139">
        <v>-0.66</v>
      </c>
    </row>
    <row r="140" spans="1:6" hidden="1" x14ac:dyDescent="0.45">
      <c r="A140" t="s">
        <v>68</v>
      </c>
      <c r="B140" t="s">
        <v>22</v>
      </c>
      <c r="C140" s="1">
        <v>41820</v>
      </c>
      <c r="D140">
        <v>567.28</v>
      </c>
      <c r="E140">
        <v>542.98</v>
      </c>
      <c r="F140">
        <v>4.4800000000000004</v>
      </c>
    </row>
    <row r="141" spans="1:6" hidden="1" x14ac:dyDescent="0.45">
      <c r="A141" t="s">
        <v>68</v>
      </c>
      <c r="B141" t="s">
        <v>23</v>
      </c>
      <c r="C141" s="1">
        <v>41851</v>
      </c>
      <c r="D141">
        <v>592.49</v>
      </c>
      <c r="E141">
        <v>567.28</v>
      </c>
      <c r="F141">
        <v>4.4400000000000004</v>
      </c>
    </row>
    <row r="142" spans="1:6" hidden="1" x14ac:dyDescent="0.45">
      <c r="A142" t="s">
        <v>68</v>
      </c>
      <c r="B142" t="s">
        <v>24</v>
      </c>
      <c r="C142" s="1">
        <v>41880</v>
      </c>
      <c r="D142">
        <v>583.34</v>
      </c>
      <c r="E142">
        <v>592.49</v>
      </c>
      <c r="F142">
        <v>-1.54</v>
      </c>
    </row>
    <row r="143" spans="1:6" hidden="1" x14ac:dyDescent="0.45">
      <c r="A143" t="s">
        <v>68</v>
      </c>
      <c r="B143" t="s">
        <v>25</v>
      </c>
      <c r="C143" s="1">
        <v>41912</v>
      </c>
      <c r="D143">
        <v>592.13</v>
      </c>
      <c r="E143">
        <v>583.34</v>
      </c>
      <c r="F143">
        <v>1.51</v>
      </c>
    </row>
    <row r="144" spans="1:6" hidden="1" x14ac:dyDescent="0.45">
      <c r="A144" t="s">
        <v>68</v>
      </c>
      <c r="B144" t="s">
        <v>26</v>
      </c>
      <c r="C144" s="1">
        <v>41943</v>
      </c>
      <c r="D144">
        <v>557.54</v>
      </c>
      <c r="E144">
        <v>592.13</v>
      </c>
      <c r="F144">
        <v>-5.84</v>
      </c>
    </row>
    <row r="145" spans="1:6" hidden="1" x14ac:dyDescent="0.45">
      <c r="A145" t="s">
        <v>68</v>
      </c>
      <c r="B145" t="s">
        <v>27</v>
      </c>
      <c r="C145" s="1">
        <v>41971</v>
      </c>
      <c r="D145">
        <v>552.54</v>
      </c>
      <c r="E145">
        <v>557.54</v>
      </c>
      <c r="F145">
        <v>-0.9</v>
      </c>
    </row>
    <row r="146" spans="1:6" hidden="1" x14ac:dyDescent="0.45">
      <c r="A146" t="s">
        <v>68</v>
      </c>
      <c r="B146" t="s">
        <v>28</v>
      </c>
      <c r="C146" s="1">
        <v>42004</v>
      </c>
      <c r="D146">
        <v>529.19000000000005</v>
      </c>
      <c r="E146">
        <v>552.54</v>
      </c>
      <c r="F146">
        <v>-4.2300000000000004</v>
      </c>
    </row>
    <row r="147" spans="1:6" hidden="1" x14ac:dyDescent="0.45">
      <c r="A147" t="s">
        <v>68</v>
      </c>
      <c r="B147" t="s">
        <v>29</v>
      </c>
      <c r="C147" s="1">
        <v>42034</v>
      </c>
      <c r="D147">
        <v>515.91999999999996</v>
      </c>
      <c r="E147">
        <v>529.19000000000005</v>
      </c>
      <c r="F147">
        <v>-2.5099999999999998</v>
      </c>
    </row>
    <row r="148" spans="1:6" hidden="1" x14ac:dyDescent="0.45">
      <c r="A148" t="s">
        <v>68</v>
      </c>
      <c r="B148" t="s">
        <v>30</v>
      </c>
      <c r="C148" s="1">
        <v>42062</v>
      </c>
      <c r="D148">
        <v>540.99</v>
      </c>
      <c r="E148">
        <v>515.91999999999996</v>
      </c>
      <c r="F148">
        <v>4.8600000000000003</v>
      </c>
    </row>
    <row r="149" spans="1:6" hidden="1" x14ac:dyDescent="0.45">
      <c r="A149" t="s">
        <v>68</v>
      </c>
      <c r="B149" t="s">
        <v>31</v>
      </c>
      <c r="C149" s="1">
        <v>42094</v>
      </c>
      <c r="D149">
        <v>565.97</v>
      </c>
      <c r="E149">
        <v>540.99</v>
      </c>
      <c r="F149">
        <v>4.62</v>
      </c>
    </row>
    <row r="150" spans="1:6" hidden="1" x14ac:dyDescent="0.45">
      <c r="A150" t="s">
        <v>68</v>
      </c>
      <c r="B150" t="s">
        <v>32</v>
      </c>
      <c r="C150" s="1">
        <v>42124</v>
      </c>
      <c r="D150">
        <v>549.48</v>
      </c>
      <c r="E150">
        <v>565.97</v>
      </c>
      <c r="F150">
        <v>-2.91</v>
      </c>
    </row>
    <row r="151" spans="1:6" hidden="1" x14ac:dyDescent="0.45">
      <c r="A151" t="s">
        <v>68</v>
      </c>
      <c r="B151" t="s">
        <v>33</v>
      </c>
      <c r="C151" s="1">
        <v>42153</v>
      </c>
      <c r="D151">
        <v>547.67999999999995</v>
      </c>
      <c r="E151">
        <v>549.48</v>
      </c>
      <c r="F151">
        <v>-0.33</v>
      </c>
    </row>
    <row r="152" spans="1:6" hidden="1" x14ac:dyDescent="0.45">
      <c r="A152" t="s">
        <v>68</v>
      </c>
      <c r="B152" t="s">
        <v>34</v>
      </c>
      <c r="C152" s="1">
        <v>42185</v>
      </c>
      <c r="D152">
        <v>550.79999999999995</v>
      </c>
      <c r="E152">
        <v>547.67999999999995</v>
      </c>
      <c r="F152">
        <v>0.56999999999999995</v>
      </c>
    </row>
    <row r="153" spans="1:6" hidden="1" x14ac:dyDescent="0.45">
      <c r="A153" t="s">
        <v>68</v>
      </c>
      <c r="B153" t="s">
        <v>35</v>
      </c>
      <c r="C153" s="1">
        <v>42216</v>
      </c>
      <c r="D153">
        <v>617.47</v>
      </c>
      <c r="E153">
        <v>550.79999999999995</v>
      </c>
      <c r="F153">
        <v>12.1</v>
      </c>
    </row>
    <row r="154" spans="1:6" hidden="1" x14ac:dyDescent="0.45">
      <c r="A154" t="s">
        <v>68</v>
      </c>
      <c r="B154" t="s">
        <v>36</v>
      </c>
      <c r="C154" s="1">
        <v>42247</v>
      </c>
      <c r="D154">
        <v>667.66</v>
      </c>
      <c r="E154">
        <v>617.47</v>
      </c>
      <c r="F154">
        <v>8.1300000000000008</v>
      </c>
    </row>
    <row r="155" spans="1:6" hidden="1" x14ac:dyDescent="0.45">
      <c r="A155" t="s">
        <v>68</v>
      </c>
      <c r="B155" t="s">
        <v>37</v>
      </c>
      <c r="C155" s="1">
        <v>42277</v>
      </c>
      <c r="D155">
        <v>647.79</v>
      </c>
      <c r="E155">
        <v>667.66</v>
      </c>
      <c r="F155">
        <v>-2.98</v>
      </c>
    </row>
    <row r="156" spans="1:6" hidden="1" x14ac:dyDescent="0.45">
      <c r="A156" t="s">
        <v>68</v>
      </c>
      <c r="B156" t="s">
        <v>38</v>
      </c>
      <c r="C156" s="1">
        <v>42307</v>
      </c>
      <c r="D156">
        <v>691.56</v>
      </c>
      <c r="E156">
        <v>647.79</v>
      </c>
      <c r="F156">
        <v>6.76</v>
      </c>
    </row>
    <row r="157" spans="1:6" hidden="1" x14ac:dyDescent="0.45">
      <c r="A157" t="s">
        <v>68</v>
      </c>
      <c r="B157" t="s">
        <v>39</v>
      </c>
      <c r="C157" s="1">
        <v>42338</v>
      </c>
      <c r="D157">
        <v>759.64</v>
      </c>
      <c r="E157">
        <v>691.56</v>
      </c>
      <c r="F157">
        <v>9.84</v>
      </c>
    </row>
    <row r="158" spans="1:6" hidden="1" x14ac:dyDescent="0.45">
      <c r="A158" t="s">
        <v>68</v>
      </c>
      <c r="B158" t="s">
        <v>40</v>
      </c>
      <c r="C158" s="1">
        <v>42369</v>
      </c>
      <c r="D158">
        <v>771.04</v>
      </c>
      <c r="E158">
        <v>759.64</v>
      </c>
      <c r="F158">
        <v>1.5</v>
      </c>
    </row>
    <row r="159" spans="1:6" hidden="1" x14ac:dyDescent="0.45">
      <c r="A159" t="s">
        <v>68</v>
      </c>
      <c r="B159" t="s">
        <v>41</v>
      </c>
      <c r="C159" s="1">
        <v>42398</v>
      </c>
      <c r="D159">
        <v>736.66</v>
      </c>
      <c r="E159">
        <v>771.04</v>
      </c>
      <c r="F159">
        <v>-4.46</v>
      </c>
    </row>
    <row r="160" spans="1:6" hidden="1" x14ac:dyDescent="0.45">
      <c r="A160" t="s">
        <v>68</v>
      </c>
      <c r="B160" t="s">
        <v>42</v>
      </c>
      <c r="C160" s="1">
        <v>42429</v>
      </c>
      <c r="D160">
        <v>724.39</v>
      </c>
      <c r="E160">
        <v>736.66</v>
      </c>
      <c r="F160">
        <v>-1.67</v>
      </c>
    </row>
    <row r="161" spans="1:6" hidden="1" x14ac:dyDescent="0.45">
      <c r="A161" t="s">
        <v>68</v>
      </c>
      <c r="B161" t="s">
        <v>43</v>
      </c>
      <c r="C161" s="1">
        <v>42460</v>
      </c>
      <c r="D161">
        <v>746.79</v>
      </c>
      <c r="E161">
        <v>724.39</v>
      </c>
      <c r="F161">
        <v>3.09</v>
      </c>
    </row>
    <row r="162" spans="1:6" hidden="1" x14ac:dyDescent="0.45">
      <c r="A162" t="s">
        <v>68</v>
      </c>
      <c r="B162" t="s">
        <v>44</v>
      </c>
      <c r="C162" s="1">
        <v>42489</v>
      </c>
      <c r="D162">
        <v>756.61</v>
      </c>
      <c r="E162">
        <v>746.79</v>
      </c>
      <c r="F162">
        <v>1.31</v>
      </c>
    </row>
    <row r="163" spans="1:6" hidden="1" x14ac:dyDescent="0.45">
      <c r="A163" t="s">
        <v>68</v>
      </c>
      <c r="B163" t="s">
        <v>45</v>
      </c>
      <c r="C163" s="1">
        <v>42521</v>
      </c>
      <c r="D163">
        <v>726.53</v>
      </c>
      <c r="E163">
        <v>756.61</v>
      </c>
      <c r="F163">
        <v>-3.98</v>
      </c>
    </row>
    <row r="164" spans="1:6" hidden="1" x14ac:dyDescent="0.45">
      <c r="A164" t="s">
        <v>68</v>
      </c>
      <c r="B164" t="s">
        <v>46</v>
      </c>
      <c r="C164" s="1">
        <v>42551</v>
      </c>
      <c r="D164">
        <v>719.59</v>
      </c>
      <c r="E164">
        <v>726.53</v>
      </c>
      <c r="F164">
        <v>-0.96</v>
      </c>
    </row>
    <row r="165" spans="1:6" hidden="1" x14ac:dyDescent="0.45">
      <c r="A165" t="s">
        <v>68</v>
      </c>
      <c r="B165" t="s">
        <v>47</v>
      </c>
      <c r="C165" s="1">
        <v>42580</v>
      </c>
      <c r="D165">
        <v>741.07</v>
      </c>
      <c r="E165">
        <v>719.59</v>
      </c>
      <c r="F165">
        <v>2.99</v>
      </c>
    </row>
    <row r="166" spans="1:6" hidden="1" x14ac:dyDescent="0.45">
      <c r="A166" t="s">
        <v>68</v>
      </c>
      <c r="B166" t="s">
        <v>48</v>
      </c>
      <c r="C166" s="1">
        <v>42613</v>
      </c>
      <c r="D166">
        <v>800.21</v>
      </c>
      <c r="E166">
        <v>741.07</v>
      </c>
      <c r="F166">
        <v>7.98</v>
      </c>
    </row>
    <row r="167" spans="1:6" hidden="1" x14ac:dyDescent="0.45">
      <c r="A167" t="s">
        <v>68</v>
      </c>
      <c r="B167" t="s">
        <v>49</v>
      </c>
      <c r="C167" s="1">
        <v>42643</v>
      </c>
      <c r="D167">
        <v>801.62</v>
      </c>
      <c r="E167">
        <v>800.21</v>
      </c>
      <c r="F167">
        <v>0.18</v>
      </c>
    </row>
    <row r="168" spans="1:6" hidden="1" x14ac:dyDescent="0.45">
      <c r="A168" t="s">
        <v>68</v>
      </c>
      <c r="B168" t="s">
        <v>50</v>
      </c>
      <c r="C168" s="1">
        <v>42674</v>
      </c>
      <c r="D168">
        <v>813.65</v>
      </c>
      <c r="E168">
        <v>801.62</v>
      </c>
      <c r="F168">
        <v>1.5</v>
      </c>
    </row>
    <row r="169" spans="1:6" hidden="1" x14ac:dyDescent="0.45">
      <c r="A169" t="s">
        <v>68</v>
      </c>
      <c r="B169" t="s">
        <v>51</v>
      </c>
      <c r="C169" s="1">
        <v>42704</v>
      </c>
      <c r="D169">
        <v>784.74</v>
      </c>
      <c r="E169">
        <v>813.65</v>
      </c>
      <c r="F169">
        <v>-3.55</v>
      </c>
    </row>
    <row r="170" spans="1:6" hidden="1" x14ac:dyDescent="0.45">
      <c r="A170" t="s">
        <v>68</v>
      </c>
      <c r="B170" t="s">
        <v>52</v>
      </c>
      <c r="C170" s="1">
        <v>42734</v>
      </c>
      <c r="D170">
        <v>800.62</v>
      </c>
      <c r="E170">
        <v>784.74</v>
      </c>
      <c r="F170">
        <v>2.02</v>
      </c>
    </row>
    <row r="171" spans="1:6" hidden="1" x14ac:dyDescent="0.45">
      <c r="A171" t="s">
        <v>68</v>
      </c>
      <c r="B171" t="s">
        <v>53</v>
      </c>
      <c r="C171" s="1">
        <v>42766</v>
      </c>
      <c r="D171">
        <v>830.25</v>
      </c>
      <c r="E171">
        <v>800.62</v>
      </c>
      <c r="F171">
        <v>3.7</v>
      </c>
    </row>
    <row r="172" spans="1:6" hidden="1" x14ac:dyDescent="0.45">
      <c r="A172" t="s">
        <v>68</v>
      </c>
      <c r="B172" t="s">
        <v>54</v>
      </c>
      <c r="C172" s="1">
        <v>42794</v>
      </c>
      <c r="D172">
        <v>836.75</v>
      </c>
      <c r="E172">
        <v>830.25</v>
      </c>
      <c r="F172">
        <v>0.78</v>
      </c>
    </row>
    <row r="173" spans="1:6" hidden="1" x14ac:dyDescent="0.45">
      <c r="A173" t="s">
        <v>68</v>
      </c>
      <c r="B173" t="s">
        <v>55</v>
      </c>
      <c r="C173" s="1">
        <v>42825</v>
      </c>
      <c r="D173">
        <v>853.79</v>
      </c>
      <c r="E173">
        <v>836.75</v>
      </c>
      <c r="F173">
        <v>2.04</v>
      </c>
    </row>
    <row r="174" spans="1:6" hidden="1" x14ac:dyDescent="0.45">
      <c r="A174" t="s">
        <v>68</v>
      </c>
      <c r="B174" t="s">
        <v>56</v>
      </c>
      <c r="C174" s="1">
        <v>42853</v>
      </c>
      <c r="D174">
        <v>861.38</v>
      </c>
      <c r="E174">
        <v>853.79</v>
      </c>
      <c r="F174">
        <v>0.89</v>
      </c>
    </row>
    <row r="175" spans="1:6" hidden="1" x14ac:dyDescent="0.45">
      <c r="A175" t="s">
        <v>68</v>
      </c>
      <c r="B175" t="s">
        <v>57</v>
      </c>
      <c r="C175" s="1">
        <v>42886</v>
      </c>
      <c r="D175">
        <v>961.65</v>
      </c>
      <c r="E175">
        <v>861.38</v>
      </c>
      <c r="F175">
        <v>11.64</v>
      </c>
    </row>
    <row r="176" spans="1:6" hidden="1" x14ac:dyDescent="0.45">
      <c r="A176" t="s">
        <v>68</v>
      </c>
      <c r="B176" t="s">
        <v>58</v>
      </c>
      <c r="C176" s="1">
        <v>42916</v>
      </c>
      <c r="D176">
        <v>973.37</v>
      </c>
      <c r="E176">
        <v>961.65</v>
      </c>
      <c r="F176">
        <v>1.22</v>
      </c>
    </row>
    <row r="177" spans="1:6" hidden="1" x14ac:dyDescent="0.45">
      <c r="A177" t="s">
        <v>68</v>
      </c>
      <c r="B177" t="s">
        <v>59</v>
      </c>
      <c r="C177" s="1">
        <v>42947</v>
      </c>
      <c r="D177">
        <v>963.44</v>
      </c>
      <c r="E177">
        <v>973.37</v>
      </c>
      <c r="F177">
        <v>-1.02</v>
      </c>
    </row>
    <row r="178" spans="1:6" hidden="1" x14ac:dyDescent="0.45">
      <c r="A178" t="s">
        <v>68</v>
      </c>
      <c r="B178" t="s">
        <v>60</v>
      </c>
      <c r="C178" s="1">
        <v>42978</v>
      </c>
      <c r="D178">
        <v>937.96</v>
      </c>
      <c r="E178">
        <v>963.44</v>
      </c>
      <c r="F178">
        <v>-2.64</v>
      </c>
    </row>
    <row r="179" spans="1:6" hidden="1" x14ac:dyDescent="0.45">
      <c r="A179" t="s">
        <v>68</v>
      </c>
      <c r="B179" t="s">
        <v>61</v>
      </c>
      <c r="C179" s="1">
        <v>43007</v>
      </c>
      <c r="D179">
        <v>945.88</v>
      </c>
      <c r="E179">
        <v>937.96</v>
      </c>
      <c r="F179">
        <v>0.84</v>
      </c>
    </row>
    <row r="180" spans="1:6" hidden="1" x14ac:dyDescent="0.45">
      <c r="A180" t="s">
        <v>68</v>
      </c>
      <c r="B180" t="s">
        <v>62</v>
      </c>
      <c r="C180" s="1">
        <v>43039</v>
      </c>
      <c r="D180">
        <v>999.14</v>
      </c>
      <c r="E180">
        <v>945.88</v>
      </c>
      <c r="F180">
        <v>5.63</v>
      </c>
    </row>
    <row r="181" spans="1:6" hidden="1" x14ac:dyDescent="0.45">
      <c r="A181" t="s">
        <v>68</v>
      </c>
      <c r="B181" t="s">
        <v>63</v>
      </c>
      <c r="C181" s="1">
        <v>43069</v>
      </c>
      <c r="D181">
        <v>1046.98</v>
      </c>
      <c r="E181">
        <v>999.14</v>
      </c>
      <c r="F181">
        <v>4.79</v>
      </c>
    </row>
    <row r="182" spans="1:6" hidden="1" x14ac:dyDescent="0.45">
      <c r="A182" t="s">
        <v>68</v>
      </c>
      <c r="B182" t="s">
        <v>64</v>
      </c>
      <c r="C182" s="1">
        <v>43098</v>
      </c>
      <c r="D182">
        <v>1053.92</v>
      </c>
      <c r="E182">
        <v>1046.98</v>
      </c>
      <c r="F182">
        <v>0.66</v>
      </c>
    </row>
    <row r="183" spans="1:6" hidden="1" x14ac:dyDescent="0.45">
      <c r="A183" t="s">
        <v>68</v>
      </c>
      <c r="B183" t="s">
        <v>65</v>
      </c>
      <c r="C183" s="1">
        <v>43131</v>
      </c>
      <c r="D183">
        <v>1139.3900000000001</v>
      </c>
      <c r="E183">
        <v>1053.92</v>
      </c>
      <c r="F183">
        <v>8.11</v>
      </c>
    </row>
    <row r="184" spans="1:6" hidden="1" x14ac:dyDescent="0.45">
      <c r="A184" t="s">
        <v>68</v>
      </c>
      <c r="B184" t="s">
        <v>66</v>
      </c>
      <c r="C184" s="1">
        <v>43138</v>
      </c>
      <c r="D184">
        <v>1100.5999999999999</v>
      </c>
      <c r="E184">
        <v>1139.3900000000001</v>
      </c>
      <c r="F184">
        <v>-3.4</v>
      </c>
    </row>
    <row r="185" spans="1:6" x14ac:dyDescent="0.45">
      <c r="A185" t="s">
        <v>69</v>
      </c>
      <c r="B185" t="s">
        <v>6</v>
      </c>
      <c r="C185" s="1">
        <v>41333</v>
      </c>
      <c r="D185">
        <v>200.1</v>
      </c>
    </row>
    <row r="186" spans="1:6" x14ac:dyDescent="0.45">
      <c r="A186" t="s">
        <v>69</v>
      </c>
      <c r="B186" t="s">
        <v>7</v>
      </c>
      <c r="C186" s="1">
        <v>41361</v>
      </c>
      <c r="D186">
        <v>210.98</v>
      </c>
      <c r="E186">
        <v>200.1</v>
      </c>
      <c r="F186">
        <v>5.44</v>
      </c>
    </row>
    <row r="187" spans="1:6" x14ac:dyDescent="0.45">
      <c r="A187" t="s">
        <v>69</v>
      </c>
      <c r="B187" t="s">
        <v>8</v>
      </c>
      <c r="C187" s="1">
        <v>41394</v>
      </c>
      <c r="D187">
        <v>204.73</v>
      </c>
      <c r="E187">
        <v>210.98</v>
      </c>
      <c r="F187">
        <v>-2.96</v>
      </c>
    </row>
    <row r="188" spans="1:6" x14ac:dyDescent="0.45">
      <c r="A188" t="s">
        <v>69</v>
      </c>
      <c r="B188" t="s">
        <v>9</v>
      </c>
      <c r="C188" s="1">
        <v>41425</v>
      </c>
      <c r="D188">
        <v>205.26</v>
      </c>
      <c r="E188">
        <v>204.73</v>
      </c>
      <c r="F188">
        <v>0.26</v>
      </c>
    </row>
    <row r="189" spans="1:6" x14ac:dyDescent="0.45">
      <c r="A189" t="s">
        <v>69</v>
      </c>
      <c r="B189" t="s">
        <v>10</v>
      </c>
      <c r="C189" s="1">
        <v>41453</v>
      </c>
      <c r="D189">
        <v>200.85</v>
      </c>
      <c r="E189">
        <v>205.26</v>
      </c>
      <c r="F189">
        <v>-2.15</v>
      </c>
    </row>
    <row r="190" spans="1:6" x14ac:dyDescent="0.45">
      <c r="A190" t="s">
        <v>69</v>
      </c>
      <c r="B190" t="s">
        <v>11</v>
      </c>
      <c r="C190" s="1">
        <v>41486</v>
      </c>
      <c r="D190">
        <v>194.35</v>
      </c>
      <c r="E190">
        <v>200.85</v>
      </c>
      <c r="F190">
        <v>-3.24</v>
      </c>
    </row>
    <row r="191" spans="1:6" x14ac:dyDescent="0.45">
      <c r="A191" t="s">
        <v>69</v>
      </c>
      <c r="B191" t="s">
        <v>12</v>
      </c>
      <c r="C191" s="1">
        <v>41516</v>
      </c>
      <c r="D191">
        <v>187.13</v>
      </c>
      <c r="E191">
        <v>194.35</v>
      </c>
      <c r="F191">
        <v>-3.71</v>
      </c>
    </row>
    <row r="192" spans="1:6" x14ac:dyDescent="0.45">
      <c r="A192" t="s">
        <v>69</v>
      </c>
      <c r="B192" t="s">
        <v>13</v>
      </c>
      <c r="C192" s="1">
        <v>41547</v>
      </c>
      <c r="D192">
        <v>188.77</v>
      </c>
      <c r="E192">
        <v>187.13</v>
      </c>
      <c r="F192">
        <v>0.88</v>
      </c>
    </row>
    <row r="193" spans="1:6" x14ac:dyDescent="0.45">
      <c r="A193" t="s">
        <v>69</v>
      </c>
      <c r="B193" t="s">
        <v>14</v>
      </c>
      <c r="C193" s="1">
        <v>41578</v>
      </c>
      <c r="D193">
        <v>180.71</v>
      </c>
      <c r="E193">
        <v>188.77</v>
      </c>
      <c r="F193">
        <v>-4.2699999999999996</v>
      </c>
    </row>
    <row r="194" spans="1:6" x14ac:dyDescent="0.45">
      <c r="A194" t="s">
        <v>69</v>
      </c>
      <c r="B194" t="s">
        <v>15</v>
      </c>
      <c r="C194" s="1">
        <v>41607</v>
      </c>
      <c r="D194">
        <v>181.33</v>
      </c>
      <c r="E194">
        <v>180.71</v>
      </c>
      <c r="F194">
        <v>0.34</v>
      </c>
    </row>
    <row r="195" spans="1:6" x14ac:dyDescent="0.45">
      <c r="A195" t="s">
        <v>69</v>
      </c>
      <c r="B195" t="s">
        <v>16</v>
      </c>
      <c r="C195" s="1">
        <v>41639</v>
      </c>
      <c r="D195">
        <v>179.11</v>
      </c>
      <c r="E195">
        <v>181.33</v>
      </c>
      <c r="F195">
        <v>-1.22</v>
      </c>
    </row>
    <row r="196" spans="1:6" x14ac:dyDescent="0.45">
      <c r="A196" t="s">
        <v>69</v>
      </c>
      <c r="B196" t="s">
        <v>17</v>
      </c>
      <c r="C196" s="1">
        <v>41670</v>
      </c>
      <c r="D196">
        <v>184.07</v>
      </c>
      <c r="E196">
        <v>179.11</v>
      </c>
      <c r="F196">
        <v>2.77</v>
      </c>
    </row>
    <row r="197" spans="1:6" x14ac:dyDescent="0.45">
      <c r="A197" t="s">
        <v>69</v>
      </c>
      <c r="B197" t="s">
        <v>18</v>
      </c>
      <c r="C197" s="1">
        <v>41698</v>
      </c>
      <c r="D197">
        <v>180.47</v>
      </c>
      <c r="E197">
        <v>184.07</v>
      </c>
      <c r="F197">
        <v>-1.96</v>
      </c>
    </row>
    <row r="198" spans="1:6" x14ac:dyDescent="0.45">
      <c r="A198" t="s">
        <v>69</v>
      </c>
      <c r="B198" t="s">
        <v>19</v>
      </c>
      <c r="C198" s="1">
        <v>41729</v>
      </c>
      <c r="D198">
        <v>187.58</v>
      </c>
      <c r="E198">
        <v>180.47</v>
      </c>
      <c r="F198">
        <v>3.94</v>
      </c>
    </row>
    <row r="199" spans="1:6" x14ac:dyDescent="0.45">
      <c r="A199" t="s">
        <v>69</v>
      </c>
      <c r="B199" t="s">
        <v>20</v>
      </c>
      <c r="C199" s="1">
        <v>41759</v>
      </c>
      <c r="D199">
        <v>193.8</v>
      </c>
      <c r="E199">
        <v>187.58</v>
      </c>
      <c r="F199">
        <v>3.32</v>
      </c>
    </row>
    <row r="200" spans="1:6" x14ac:dyDescent="0.45">
      <c r="A200" t="s">
        <v>69</v>
      </c>
      <c r="B200" t="s">
        <v>21</v>
      </c>
      <c r="C200" s="1">
        <v>41789</v>
      </c>
      <c r="D200">
        <v>187.97</v>
      </c>
      <c r="E200">
        <v>193.8</v>
      </c>
      <c r="F200">
        <v>-3.01</v>
      </c>
    </row>
    <row r="201" spans="1:6" x14ac:dyDescent="0.45">
      <c r="A201" t="s">
        <v>69</v>
      </c>
      <c r="B201" t="s">
        <v>22</v>
      </c>
      <c r="C201" s="1">
        <v>41820</v>
      </c>
      <c r="D201">
        <v>183.01</v>
      </c>
      <c r="E201">
        <v>187.97</v>
      </c>
      <c r="F201">
        <v>-2.64</v>
      </c>
    </row>
    <row r="202" spans="1:6" x14ac:dyDescent="0.45">
      <c r="A202" t="s">
        <v>69</v>
      </c>
      <c r="B202" t="s">
        <v>23</v>
      </c>
      <c r="C202" s="1">
        <v>41851</v>
      </c>
      <c r="D202">
        <v>191.03</v>
      </c>
      <c r="E202">
        <v>183.01</v>
      </c>
      <c r="F202">
        <v>4.38</v>
      </c>
    </row>
    <row r="203" spans="1:6" x14ac:dyDescent="0.45">
      <c r="A203" t="s">
        <v>69</v>
      </c>
      <c r="B203" t="s">
        <v>24</v>
      </c>
      <c r="C203" s="1">
        <v>41880</v>
      </c>
      <c r="D203">
        <v>189.18</v>
      </c>
      <c r="E203">
        <v>191.03</v>
      </c>
      <c r="F203">
        <v>-0.97</v>
      </c>
    </row>
    <row r="204" spans="1:6" x14ac:dyDescent="0.45">
      <c r="A204" t="s">
        <v>69</v>
      </c>
      <c r="B204" t="s">
        <v>25</v>
      </c>
      <c r="C204" s="1">
        <v>41912</v>
      </c>
      <c r="D204">
        <v>191.35</v>
      </c>
      <c r="E204">
        <v>189.18</v>
      </c>
      <c r="F204">
        <v>1.1499999999999999</v>
      </c>
    </row>
    <row r="205" spans="1:6" x14ac:dyDescent="0.45">
      <c r="A205" t="s">
        <v>69</v>
      </c>
      <c r="B205" t="s">
        <v>26</v>
      </c>
      <c r="C205" s="1">
        <v>41943</v>
      </c>
      <c r="D205">
        <v>175.92</v>
      </c>
      <c r="E205">
        <v>191.35</v>
      </c>
      <c r="F205">
        <v>-8.06</v>
      </c>
    </row>
    <row r="206" spans="1:6" x14ac:dyDescent="0.45">
      <c r="A206" t="s">
        <v>69</v>
      </c>
      <c r="B206" t="s">
        <v>27</v>
      </c>
      <c r="C206" s="1">
        <v>41971</v>
      </c>
      <c r="D206">
        <v>162.37</v>
      </c>
      <c r="E206">
        <v>175.92</v>
      </c>
      <c r="F206">
        <v>-7.7</v>
      </c>
    </row>
    <row r="207" spans="1:6" x14ac:dyDescent="0.45">
      <c r="A207" t="s">
        <v>69</v>
      </c>
      <c r="B207" t="s">
        <v>28</v>
      </c>
      <c r="C207" s="1">
        <v>42004</v>
      </c>
      <c r="D207">
        <v>159.97</v>
      </c>
      <c r="E207">
        <v>162.37</v>
      </c>
      <c r="F207">
        <v>-1.48</v>
      </c>
    </row>
    <row r="208" spans="1:6" x14ac:dyDescent="0.45">
      <c r="A208" t="s">
        <v>69</v>
      </c>
      <c r="B208" t="s">
        <v>29</v>
      </c>
      <c r="C208" s="1">
        <v>42034</v>
      </c>
      <c r="D208">
        <v>156.08000000000001</v>
      </c>
      <c r="E208">
        <v>159.97</v>
      </c>
      <c r="F208">
        <v>-2.4300000000000002</v>
      </c>
    </row>
    <row r="209" spans="1:6" x14ac:dyDescent="0.45">
      <c r="A209" t="s">
        <v>69</v>
      </c>
      <c r="B209" t="s">
        <v>30</v>
      </c>
      <c r="C209" s="1">
        <v>42062</v>
      </c>
      <c r="D209">
        <v>160.01</v>
      </c>
      <c r="E209">
        <v>156.08000000000001</v>
      </c>
      <c r="F209">
        <v>2.52</v>
      </c>
    </row>
    <row r="210" spans="1:6" x14ac:dyDescent="0.45">
      <c r="A210" t="s">
        <v>69</v>
      </c>
      <c r="B210" t="s">
        <v>31</v>
      </c>
      <c r="C210" s="1">
        <v>42094</v>
      </c>
      <c r="D210">
        <v>159.81</v>
      </c>
      <c r="E210">
        <v>160.01</v>
      </c>
      <c r="F210">
        <v>-0.12</v>
      </c>
    </row>
    <row r="211" spans="1:6" x14ac:dyDescent="0.45">
      <c r="A211" t="s">
        <v>69</v>
      </c>
      <c r="B211" t="s">
        <v>32</v>
      </c>
      <c r="C211" s="1">
        <v>42124</v>
      </c>
      <c r="D211">
        <v>165.22</v>
      </c>
      <c r="E211">
        <v>159.81</v>
      </c>
      <c r="F211">
        <v>3.39</v>
      </c>
    </row>
    <row r="212" spans="1:6" x14ac:dyDescent="0.45">
      <c r="A212" t="s">
        <v>69</v>
      </c>
      <c r="B212" t="s">
        <v>33</v>
      </c>
      <c r="C212" s="1">
        <v>42153</v>
      </c>
      <c r="D212">
        <v>172.25</v>
      </c>
      <c r="E212">
        <v>165.22</v>
      </c>
      <c r="F212">
        <v>4.25</v>
      </c>
    </row>
    <row r="213" spans="1:6" x14ac:dyDescent="0.45">
      <c r="A213" t="s">
        <v>69</v>
      </c>
      <c r="B213" t="s">
        <v>34</v>
      </c>
      <c r="C213" s="1">
        <v>42185</v>
      </c>
      <c r="D213">
        <v>167.15</v>
      </c>
      <c r="E213">
        <v>172.25</v>
      </c>
      <c r="F213">
        <v>-2.96</v>
      </c>
    </row>
    <row r="214" spans="1:6" x14ac:dyDescent="0.45">
      <c r="A214" t="s">
        <v>69</v>
      </c>
      <c r="B214" t="s">
        <v>35</v>
      </c>
      <c r="C214" s="1">
        <v>42216</v>
      </c>
      <c r="D214">
        <v>164.75</v>
      </c>
      <c r="E214">
        <v>167.15</v>
      </c>
      <c r="F214">
        <v>-1.44</v>
      </c>
    </row>
    <row r="215" spans="1:6" x14ac:dyDescent="0.45">
      <c r="A215" t="s">
        <v>69</v>
      </c>
      <c r="B215" t="s">
        <v>36</v>
      </c>
      <c r="C215" s="1">
        <v>42247</v>
      </c>
      <c r="D215">
        <v>152.77000000000001</v>
      </c>
      <c r="E215">
        <v>164.75</v>
      </c>
      <c r="F215">
        <v>-7.27</v>
      </c>
    </row>
    <row r="216" spans="1:6" x14ac:dyDescent="0.45">
      <c r="A216" t="s">
        <v>69</v>
      </c>
      <c r="B216" t="s">
        <v>37</v>
      </c>
      <c r="C216" s="1">
        <v>42277</v>
      </c>
      <c r="D216">
        <v>145.36000000000001</v>
      </c>
      <c r="E216">
        <v>152.77000000000001</v>
      </c>
      <c r="F216">
        <v>-4.8499999999999996</v>
      </c>
    </row>
    <row r="217" spans="1:6" x14ac:dyDescent="0.45">
      <c r="A217" t="s">
        <v>69</v>
      </c>
      <c r="B217" t="s">
        <v>38</v>
      </c>
      <c r="C217" s="1">
        <v>42307</v>
      </c>
      <c r="D217">
        <v>146.12</v>
      </c>
      <c r="E217">
        <v>145.36000000000001</v>
      </c>
      <c r="F217">
        <v>0.52</v>
      </c>
    </row>
    <row r="218" spans="1:6" x14ac:dyDescent="0.45">
      <c r="A218" t="s">
        <v>69</v>
      </c>
      <c r="B218" t="s">
        <v>39</v>
      </c>
      <c r="C218" s="1">
        <v>42338</v>
      </c>
      <c r="D218">
        <v>137.21</v>
      </c>
      <c r="E218">
        <v>146.12</v>
      </c>
      <c r="F218">
        <v>-6.1</v>
      </c>
    </row>
    <row r="219" spans="1:6" x14ac:dyDescent="0.45">
      <c r="A219" t="s">
        <v>69</v>
      </c>
      <c r="B219" t="s">
        <v>40</v>
      </c>
      <c r="C219" s="1">
        <v>42369</v>
      </c>
      <c r="D219">
        <v>137.96</v>
      </c>
      <c r="E219">
        <v>137.21</v>
      </c>
      <c r="F219">
        <v>0.55000000000000004</v>
      </c>
    </row>
    <row r="220" spans="1:6" x14ac:dyDescent="0.45">
      <c r="A220" t="s">
        <v>69</v>
      </c>
      <c r="B220" t="s">
        <v>41</v>
      </c>
      <c r="C220" s="1">
        <v>42398</v>
      </c>
      <c r="D220">
        <v>128.41</v>
      </c>
      <c r="E220">
        <v>137.96</v>
      </c>
      <c r="F220">
        <v>-6.92</v>
      </c>
    </row>
    <row r="221" spans="1:6" x14ac:dyDescent="0.45">
      <c r="A221" t="s">
        <v>69</v>
      </c>
      <c r="B221" t="s">
        <v>42</v>
      </c>
      <c r="C221" s="1">
        <v>42429</v>
      </c>
      <c r="D221">
        <v>127.49</v>
      </c>
      <c r="E221">
        <v>128.41</v>
      </c>
      <c r="F221">
        <v>-0.72</v>
      </c>
    </row>
    <row r="222" spans="1:6" x14ac:dyDescent="0.45">
      <c r="A222" t="s">
        <v>69</v>
      </c>
      <c r="B222" t="s">
        <v>43</v>
      </c>
      <c r="C222" s="1">
        <v>42460</v>
      </c>
      <c r="D222">
        <v>143.66999999999999</v>
      </c>
      <c r="E222">
        <v>127.49</v>
      </c>
      <c r="F222">
        <v>12.69</v>
      </c>
    </row>
    <row r="223" spans="1:6" x14ac:dyDescent="0.45">
      <c r="A223" t="s">
        <v>69</v>
      </c>
      <c r="B223" t="s">
        <v>44</v>
      </c>
      <c r="C223" s="1">
        <v>42489</v>
      </c>
      <c r="D223">
        <v>149.38</v>
      </c>
      <c r="E223">
        <v>143.66999999999999</v>
      </c>
      <c r="F223">
        <v>3.97</v>
      </c>
    </row>
    <row r="224" spans="1:6" x14ac:dyDescent="0.45">
      <c r="A224" t="s">
        <v>69</v>
      </c>
      <c r="B224" t="s">
        <v>45</v>
      </c>
      <c r="C224" s="1">
        <v>42521</v>
      </c>
      <c r="D224">
        <v>148.24</v>
      </c>
      <c r="E224">
        <v>149.38</v>
      </c>
      <c r="F224">
        <v>-0.76</v>
      </c>
    </row>
    <row r="225" spans="1:6" x14ac:dyDescent="0.45">
      <c r="A225" t="s">
        <v>69</v>
      </c>
      <c r="B225" t="s">
        <v>46</v>
      </c>
      <c r="C225" s="1">
        <v>42551</v>
      </c>
      <c r="D225">
        <v>151.49</v>
      </c>
      <c r="E225">
        <v>148.24</v>
      </c>
      <c r="F225">
        <v>2.19</v>
      </c>
    </row>
    <row r="226" spans="1:6" x14ac:dyDescent="0.45">
      <c r="A226" t="s">
        <v>69</v>
      </c>
      <c r="B226" t="s">
        <v>47</v>
      </c>
      <c r="C226" s="1">
        <v>42580</v>
      </c>
      <c r="D226">
        <v>158.29</v>
      </c>
      <c r="E226">
        <v>151.49</v>
      </c>
      <c r="F226">
        <v>4.49</v>
      </c>
    </row>
    <row r="227" spans="1:6" x14ac:dyDescent="0.45">
      <c r="A227" t="s">
        <v>69</v>
      </c>
      <c r="B227" t="s">
        <v>48</v>
      </c>
      <c r="C227" s="1">
        <v>42613</v>
      </c>
      <c r="D227">
        <v>160.77000000000001</v>
      </c>
      <c r="E227">
        <v>158.29</v>
      </c>
      <c r="F227">
        <v>1.57</v>
      </c>
    </row>
    <row r="228" spans="1:6" x14ac:dyDescent="0.45">
      <c r="A228" t="s">
        <v>69</v>
      </c>
      <c r="B228" t="s">
        <v>49</v>
      </c>
      <c r="C228" s="1">
        <v>42643</v>
      </c>
      <c r="D228">
        <v>156.91999999999999</v>
      </c>
      <c r="E228">
        <v>160.77000000000001</v>
      </c>
      <c r="F228">
        <v>-2.39</v>
      </c>
    </row>
    <row r="229" spans="1:6" x14ac:dyDescent="0.45">
      <c r="A229" t="s">
        <v>69</v>
      </c>
      <c r="B229" t="s">
        <v>50</v>
      </c>
      <c r="C229" s="1">
        <v>42674</v>
      </c>
      <c r="D229">
        <v>153.75</v>
      </c>
      <c r="E229">
        <v>156.91999999999999</v>
      </c>
      <c r="F229">
        <v>-2.02</v>
      </c>
    </row>
    <row r="230" spans="1:6" x14ac:dyDescent="0.45">
      <c r="A230" t="s">
        <v>69</v>
      </c>
      <c r="B230" t="s">
        <v>51</v>
      </c>
      <c r="C230" s="1">
        <v>42704</v>
      </c>
      <c r="D230">
        <v>158.76</v>
      </c>
      <c r="E230">
        <v>153.75</v>
      </c>
      <c r="F230">
        <v>3.26</v>
      </c>
    </row>
    <row r="231" spans="1:6" x14ac:dyDescent="0.45">
      <c r="A231" t="s">
        <v>69</v>
      </c>
      <c r="B231" t="s">
        <v>52</v>
      </c>
      <c r="C231" s="1">
        <v>42734</v>
      </c>
      <c r="D231">
        <v>165.48</v>
      </c>
      <c r="E231">
        <v>158.76</v>
      </c>
      <c r="F231">
        <v>4.2300000000000004</v>
      </c>
    </row>
    <row r="232" spans="1:6" x14ac:dyDescent="0.45">
      <c r="A232" t="s">
        <v>69</v>
      </c>
      <c r="B232" t="s">
        <v>53</v>
      </c>
      <c r="C232" s="1">
        <v>42766</v>
      </c>
      <c r="D232">
        <v>170.72</v>
      </c>
      <c r="E232">
        <v>165.48</v>
      </c>
      <c r="F232">
        <v>3.17</v>
      </c>
    </row>
    <row r="233" spans="1:6" x14ac:dyDescent="0.45">
      <c r="A233" t="s">
        <v>69</v>
      </c>
      <c r="B233" t="s">
        <v>54</v>
      </c>
      <c r="C233" s="1">
        <v>42794</v>
      </c>
      <c r="D233">
        <v>178.84</v>
      </c>
      <c r="E233">
        <v>170.72</v>
      </c>
      <c r="F233">
        <v>4.76</v>
      </c>
    </row>
    <row r="234" spans="1:6" x14ac:dyDescent="0.45">
      <c r="A234" t="s">
        <v>69</v>
      </c>
      <c r="B234" t="s">
        <v>55</v>
      </c>
      <c r="C234" s="1">
        <v>42825</v>
      </c>
      <c r="D234">
        <v>176.61</v>
      </c>
      <c r="E234">
        <v>178.84</v>
      </c>
      <c r="F234">
        <v>-1.25</v>
      </c>
    </row>
    <row r="235" spans="1:6" x14ac:dyDescent="0.45">
      <c r="A235" t="s">
        <v>69</v>
      </c>
      <c r="B235" t="s">
        <v>56</v>
      </c>
      <c r="C235" s="1">
        <v>42853</v>
      </c>
      <c r="D235">
        <v>167.15</v>
      </c>
      <c r="E235">
        <v>176.61</v>
      </c>
      <c r="F235">
        <v>-5.36</v>
      </c>
    </row>
    <row r="236" spans="1:6" x14ac:dyDescent="0.45">
      <c r="A236" t="s">
        <v>69</v>
      </c>
      <c r="B236" t="s">
        <v>57</v>
      </c>
      <c r="C236" s="1">
        <v>42886</v>
      </c>
      <c r="D236">
        <v>153.37</v>
      </c>
      <c r="E236">
        <v>167.15</v>
      </c>
      <c r="F236">
        <v>-8.24</v>
      </c>
    </row>
    <row r="237" spans="1:6" x14ac:dyDescent="0.45">
      <c r="A237" t="s">
        <v>69</v>
      </c>
      <c r="B237" t="s">
        <v>58</v>
      </c>
      <c r="C237" s="1">
        <v>42916</v>
      </c>
      <c r="D237">
        <v>153.86000000000001</v>
      </c>
      <c r="E237">
        <v>153.37</v>
      </c>
      <c r="F237">
        <v>0.32</v>
      </c>
    </row>
    <row r="238" spans="1:6" x14ac:dyDescent="0.45">
      <c r="A238" t="s">
        <v>69</v>
      </c>
      <c r="B238" t="s">
        <v>59</v>
      </c>
      <c r="C238" s="1">
        <v>42947</v>
      </c>
      <c r="D238">
        <v>150.18</v>
      </c>
      <c r="E238">
        <v>153.86000000000001</v>
      </c>
      <c r="F238">
        <v>-2.39</v>
      </c>
    </row>
    <row r="239" spans="1:6" x14ac:dyDescent="0.45">
      <c r="A239" t="s">
        <v>69</v>
      </c>
      <c r="B239" t="s">
        <v>60</v>
      </c>
      <c r="C239" s="1">
        <v>42978</v>
      </c>
      <c r="D239">
        <v>142.58000000000001</v>
      </c>
      <c r="E239">
        <v>150.18</v>
      </c>
      <c r="F239">
        <v>-5.0599999999999996</v>
      </c>
    </row>
    <row r="240" spans="1:6" x14ac:dyDescent="0.45">
      <c r="A240" t="s">
        <v>69</v>
      </c>
      <c r="B240" t="s">
        <v>61</v>
      </c>
      <c r="C240" s="1">
        <v>43007</v>
      </c>
      <c r="D240">
        <v>144.87</v>
      </c>
      <c r="E240">
        <v>142.58000000000001</v>
      </c>
      <c r="F240">
        <v>1.61</v>
      </c>
    </row>
    <row r="241" spans="1:6" x14ac:dyDescent="0.45">
      <c r="A241" t="s">
        <v>69</v>
      </c>
      <c r="B241" t="s">
        <v>62</v>
      </c>
      <c r="C241" s="1">
        <v>43039</v>
      </c>
      <c r="D241">
        <v>151.41999999999999</v>
      </c>
      <c r="E241">
        <v>144.87</v>
      </c>
      <c r="F241">
        <v>4.5199999999999996</v>
      </c>
    </row>
    <row r="242" spans="1:6" x14ac:dyDescent="0.45">
      <c r="A242" t="s">
        <v>69</v>
      </c>
      <c r="B242" t="s">
        <v>63</v>
      </c>
      <c r="C242" s="1">
        <v>43069</v>
      </c>
      <c r="D242">
        <v>151.08000000000001</v>
      </c>
      <c r="E242">
        <v>151.41999999999999</v>
      </c>
      <c r="F242">
        <v>-0.22</v>
      </c>
    </row>
    <row r="243" spans="1:6" x14ac:dyDescent="0.45">
      <c r="A243" t="s">
        <v>69</v>
      </c>
      <c r="B243" t="s">
        <v>64</v>
      </c>
      <c r="C243" s="1">
        <v>43098</v>
      </c>
      <c r="D243">
        <v>153.93</v>
      </c>
      <c r="E243">
        <v>151.08000000000001</v>
      </c>
      <c r="F243">
        <v>1.89</v>
      </c>
    </row>
    <row r="244" spans="1:6" x14ac:dyDescent="0.45">
      <c r="A244" t="s">
        <v>69</v>
      </c>
      <c r="B244" t="s">
        <v>65</v>
      </c>
      <c r="C244" s="1">
        <v>43131</v>
      </c>
      <c r="D244">
        <v>163.85</v>
      </c>
      <c r="E244">
        <v>153.93</v>
      </c>
      <c r="F244">
        <v>6.44</v>
      </c>
    </row>
    <row r="245" spans="1:6" x14ac:dyDescent="0.45">
      <c r="A245" t="s">
        <v>69</v>
      </c>
      <c r="B245" t="s">
        <v>66</v>
      </c>
      <c r="C245" s="1">
        <v>43138</v>
      </c>
      <c r="D245">
        <v>156.63</v>
      </c>
      <c r="E245">
        <v>163.85</v>
      </c>
      <c r="F245">
        <v>-4.41</v>
      </c>
    </row>
    <row r="246" spans="1:6" hidden="1" x14ac:dyDescent="0.45">
      <c r="A246" t="s">
        <v>70</v>
      </c>
      <c r="B246" t="s">
        <v>6</v>
      </c>
      <c r="C246" s="1">
        <v>41333</v>
      </c>
      <c r="D246">
        <v>27.78</v>
      </c>
    </row>
    <row r="247" spans="1:6" hidden="1" x14ac:dyDescent="0.45">
      <c r="A247" t="s">
        <v>70</v>
      </c>
      <c r="B247" t="s">
        <v>7</v>
      </c>
      <c r="C247" s="1">
        <v>41361</v>
      </c>
      <c r="D247">
        <v>28.14</v>
      </c>
      <c r="E247">
        <v>27.78</v>
      </c>
      <c r="F247">
        <v>1.3</v>
      </c>
    </row>
    <row r="248" spans="1:6" hidden="1" x14ac:dyDescent="0.45">
      <c r="A248" t="s">
        <v>70</v>
      </c>
      <c r="B248" t="s">
        <v>8</v>
      </c>
      <c r="C248" s="1">
        <v>41394</v>
      </c>
      <c r="D248">
        <v>29.87</v>
      </c>
      <c r="E248">
        <v>28.14</v>
      </c>
      <c r="F248">
        <v>6.15</v>
      </c>
    </row>
    <row r="249" spans="1:6" hidden="1" x14ac:dyDescent="0.45">
      <c r="A249" t="s">
        <v>70</v>
      </c>
      <c r="B249" t="s">
        <v>9</v>
      </c>
      <c r="C249" s="1">
        <v>41425</v>
      </c>
      <c r="D249">
        <v>33.950000000000003</v>
      </c>
      <c r="E249">
        <v>29.87</v>
      </c>
      <c r="F249">
        <v>13.66</v>
      </c>
    </row>
    <row r="250" spans="1:6" hidden="1" x14ac:dyDescent="0.45">
      <c r="A250" t="s">
        <v>70</v>
      </c>
      <c r="B250" t="s">
        <v>10</v>
      </c>
      <c r="C250" s="1">
        <v>41453</v>
      </c>
      <c r="D250">
        <v>34.630000000000003</v>
      </c>
      <c r="E250">
        <v>33.950000000000003</v>
      </c>
      <c r="F250">
        <v>2</v>
      </c>
    </row>
    <row r="251" spans="1:6" hidden="1" x14ac:dyDescent="0.45">
      <c r="A251" t="s">
        <v>70</v>
      </c>
      <c r="B251" t="s">
        <v>11</v>
      </c>
      <c r="C251" s="1">
        <v>41486</v>
      </c>
      <c r="D251">
        <v>33.65</v>
      </c>
      <c r="E251">
        <v>34.630000000000003</v>
      </c>
      <c r="F251">
        <v>-2.83</v>
      </c>
    </row>
    <row r="252" spans="1:6" hidden="1" x14ac:dyDescent="0.45">
      <c r="A252" t="s">
        <v>70</v>
      </c>
      <c r="B252" t="s">
        <v>12</v>
      </c>
      <c r="C252" s="1">
        <v>41516</v>
      </c>
      <c r="D252">
        <v>32.49</v>
      </c>
      <c r="E252">
        <v>33.65</v>
      </c>
      <c r="F252">
        <v>-3.45</v>
      </c>
    </row>
    <row r="253" spans="1:6" hidden="1" x14ac:dyDescent="0.45">
      <c r="A253" t="s">
        <v>70</v>
      </c>
      <c r="B253" t="s">
        <v>13</v>
      </c>
      <c r="C253" s="1">
        <v>41547</v>
      </c>
      <c r="D253">
        <v>32.520000000000003</v>
      </c>
      <c r="E253">
        <v>32.49</v>
      </c>
      <c r="F253">
        <v>0.09</v>
      </c>
    </row>
    <row r="254" spans="1:6" hidden="1" x14ac:dyDescent="0.45">
      <c r="A254" t="s">
        <v>70</v>
      </c>
      <c r="B254" t="s">
        <v>14</v>
      </c>
      <c r="C254" s="1">
        <v>41578</v>
      </c>
      <c r="D254">
        <v>34.380000000000003</v>
      </c>
      <c r="E254">
        <v>32.520000000000003</v>
      </c>
      <c r="F254">
        <v>5.72</v>
      </c>
    </row>
    <row r="255" spans="1:6" hidden="1" x14ac:dyDescent="0.45">
      <c r="A255" t="s">
        <v>70</v>
      </c>
      <c r="B255" t="s">
        <v>15</v>
      </c>
      <c r="C255" s="1">
        <v>41607</v>
      </c>
      <c r="D255">
        <v>37.36</v>
      </c>
      <c r="E255">
        <v>34.380000000000003</v>
      </c>
      <c r="F255">
        <v>8.67</v>
      </c>
    </row>
    <row r="256" spans="1:6" hidden="1" x14ac:dyDescent="0.45">
      <c r="A256" t="s">
        <v>70</v>
      </c>
      <c r="B256" t="s">
        <v>16</v>
      </c>
      <c r="C256" s="1">
        <v>41639</v>
      </c>
      <c r="D256">
        <v>37.46</v>
      </c>
      <c r="E256">
        <v>37.36</v>
      </c>
      <c r="F256">
        <v>0.27</v>
      </c>
    </row>
    <row r="257" spans="1:6" hidden="1" x14ac:dyDescent="0.45">
      <c r="A257" t="s">
        <v>70</v>
      </c>
      <c r="B257" t="s">
        <v>17</v>
      </c>
      <c r="C257" s="1">
        <v>41670</v>
      </c>
      <c r="D257">
        <v>36.35</v>
      </c>
      <c r="E257">
        <v>37.46</v>
      </c>
      <c r="F257">
        <v>-2.96</v>
      </c>
    </row>
    <row r="258" spans="1:6" hidden="1" x14ac:dyDescent="0.45">
      <c r="A258" t="s">
        <v>70</v>
      </c>
      <c r="B258" t="s">
        <v>18</v>
      </c>
      <c r="C258" s="1">
        <v>41698</v>
      </c>
      <c r="D258">
        <v>37.24</v>
      </c>
      <c r="E258">
        <v>36.35</v>
      </c>
      <c r="F258">
        <v>2.4500000000000002</v>
      </c>
    </row>
    <row r="259" spans="1:6" hidden="1" x14ac:dyDescent="0.45">
      <c r="A259" t="s">
        <v>70</v>
      </c>
      <c r="B259" t="s">
        <v>19</v>
      </c>
      <c r="C259" s="1">
        <v>41729</v>
      </c>
      <c r="D259">
        <v>38.99</v>
      </c>
      <c r="E259">
        <v>37.24</v>
      </c>
      <c r="F259">
        <v>4.7</v>
      </c>
    </row>
    <row r="260" spans="1:6" hidden="1" x14ac:dyDescent="0.45">
      <c r="A260" t="s">
        <v>70</v>
      </c>
      <c r="B260" t="s">
        <v>20</v>
      </c>
      <c r="C260" s="1">
        <v>41759</v>
      </c>
      <c r="D260">
        <v>40.130000000000003</v>
      </c>
      <c r="E260">
        <v>38.99</v>
      </c>
      <c r="F260">
        <v>2.92</v>
      </c>
    </row>
    <row r="261" spans="1:6" hidden="1" x14ac:dyDescent="0.45">
      <c r="A261" t="s">
        <v>70</v>
      </c>
      <c r="B261" t="s">
        <v>21</v>
      </c>
      <c r="C261" s="1">
        <v>41789</v>
      </c>
      <c r="D261">
        <v>39.92</v>
      </c>
      <c r="E261">
        <v>40.130000000000003</v>
      </c>
      <c r="F261">
        <v>-0.52</v>
      </c>
    </row>
    <row r="262" spans="1:6" hidden="1" x14ac:dyDescent="0.45">
      <c r="A262" t="s">
        <v>70</v>
      </c>
      <c r="B262" t="s">
        <v>22</v>
      </c>
      <c r="C262" s="1">
        <v>41820</v>
      </c>
      <c r="D262">
        <v>41.36</v>
      </c>
      <c r="E262">
        <v>39.92</v>
      </c>
      <c r="F262">
        <v>3.61</v>
      </c>
    </row>
    <row r="263" spans="1:6" hidden="1" x14ac:dyDescent="0.45">
      <c r="A263" t="s">
        <v>70</v>
      </c>
      <c r="B263" t="s">
        <v>23</v>
      </c>
      <c r="C263" s="1">
        <v>41851</v>
      </c>
      <c r="D263">
        <v>43.21</v>
      </c>
      <c r="E263">
        <v>41.36</v>
      </c>
      <c r="F263">
        <v>4.47</v>
      </c>
    </row>
    <row r="264" spans="1:6" hidden="1" x14ac:dyDescent="0.45">
      <c r="A264" t="s">
        <v>70</v>
      </c>
      <c r="B264" t="s">
        <v>24</v>
      </c>
      <c r="C264" s="1">
        <v>41880</v>
      </c>
      <c r="D264">
        <v>44.26</v>
      </c>
      <c r="E264">
        <v>43.21</v>
      </c>
      <c r="F264">
        <v>2.4300000000000002</v>
      </c>
    </row>
    <row r="265" spans="1:6" hidden="1" x14ac:dyDescent="0.45">
      <c r="A265" t="s">
        <v>70</v>
      </c>
      <c r="B265" t="s">
        <v>25</v>
      </c>
      <c r="C265" s="1">
        <v>41912</v>
      </c>
      <c r="D265">
        <v>46.41</v>
      </c>
      <c r="E265">
        <v>44.26</v>
      </c>
      <c r="F265">
        <v>4.8600000000000003</v>
      </c>
    </row>
    <row r="266" spans="1:6" hidden="1" x14ac:dyDescent="0.45">
      <c r="A266" t="s">
        <v>70</v>
      </c>
      <c r="B266" t="s">
        <v>26</v>
      </c>
      <c r="C266" s="1">
        <v>41943</v>
      </c>
      <c r="D266">
        <v>45.2</v>
      </c>
      <c r="E266">
        <v>46.41</v>
      </c>
      <c r="F266">
        <v>-2.61</v>
      </c>
    </row>
    <row r="267" spans="1:6" hidden="1" x14ac:dyDescent="0.45">
      <c r="A267" t="s">
        <v>70</v>
      </c>
      <c r="B267" t="s">
        <v>27</v>
      </c>
      <c r="C267" s="1">
        <v>41971</v>
      </c>
      <c r="D267">
        <v>48.41</v>
      </c>
      <c r="E267">
        <v>45.2</v>
      </c>
      <c r="F267">
        <v>7.1</v>
      </c>
    </row>
    <row r="268" spans="1:6" hidden="1" x14ac:dyDescent="0.45">
      <c r="A268" t="s">
        <v>70</v>
      </c>
      <c r="B268" t="s">
        <v>28</v>
      </c>
      <c r="C268" s="1">
        <v>42004</v>
      </c>
      <c r="D268">
        <v>47.49</v>
      </c>
      <c r="E268">
        <v>48.41</v>
      </c>
      <c r="F268">
        <v>-1.9</v>
      </c>
    </row>
    <row r="269" spans="1:6" hidden="1" x14ac:dyDescent="0.45">
      <c r="A269" t="s">
        <v>70</v>
      </c>
      <c r="B269" t="s">
        <v>29</v>
      </c>
      <c r="C269" s="1">
        <v>42034</v>
      </c>
      <c r="D269">
        <v>45.51</v>
      </c>
      <c r="E269">
        <v>47.49</v>
      </c>
      <c r="F269">
        <v>-4.17</v>
      </c>
    </row>
    <row r="270" spans="1:6" hidden="1" x14ac:dyDescent="0.45">
      <c r="A270" t="s">
        <v>70</v>
      </c>
      <c r="B270" t="s">
        <v>30</v>
      </c>
      <c r="C270" s="1">
        <v>42062</v>
      </c>
      <c r="D270">
        <v>43.08</v>
      </c>
      <c r="E270">
        <v>45.51</v>
      </c>
      <c r="F270">
        <v>-5.34</v>
      </c>
    </row>
    <row r="271" spans="1:6" hidden="1" x14ac:dyDescent="0.45">
      <c r="A271" t="s">
        <v>70</v>
      </c>
      <c r="B271" t="s">
        <v>31</v>
      </c>
      <c r="C271" s="1">
        <v>42094</v>
      </c>
      <c r="D271">
        <v>42.13</v>
      </c>
      <c r="E271">
        <v>43.08</v>
      </c>
      <c r="F271">
        <v>-2.21</v>
      </c>
    </row>
    <row r="272" spans="1:6" hidden="1" x14ac:dyDescent="0.45">
      <c r="A272" t="s">
        <v>70</v>
      </c>
      <c r="B272" t="s">
        <v>32</v>
      </c>
      <c r="C272" s="1">
        <v>42124</v>
      </c>
      <c r="D272">
        <v>43.46</v>
      </c>
      <c r="E272">
        <v>42.13</v>
      </c>
      <c r="F272">
        <v>3.16</v>
      </c>
    </row>
    <row r="273" spans="1:6" hidden="1" x14ac:dyDescent="0.45">
      <c r="A273" t="s">
        <v>70</v>
      </c>
      <c r="B273" t="s">
        <v>33</v>
      </c>
      <c r="C273" s="1">
        <v>42153</v>
      </c>
      <c r="D273">
        <v>47.53</v>
      </c>
      <c r="E273">
        <v>43.46</v>
      </c>
      <c r="F273">
        <v>9.36</v>
      </c>
    </row>
    <row r="274" spans="1:6" hidden="1" x14ac:dyDescent="0.45">
      <c r="A274" t="s">
        <v>70</v>
      </c>
      <c r="B274" t="s">
        <v>34</v>
      </c>
      <c r="C274" s="1">
        <v>42185</v>
      </c>
      <c r="D274">
        <v>45.96</v>
      </c>
      <c r="E274">
        <v>47.53</v>
      </c>
      <c r="F274">
        <v>-3.3</v>
      </c>
    </row>
    <row r="275" spans="1:6" hidden="1" x14ac:dyDescent="0.45">
      <c r="A275" t="s">
        <v>70</v>
      </c>
      <c r="B275" t="s">
        <v>35</v>
      </c>
      <c r="C275" s="1">
        <v>42216</v>
      </c>
      <c r="D275">
        <v>45.61</v>
      </c>
      <c r="E275">
        <v>45.96</v>
      </c>
      <c r="F275">
        <v>-0.76</v>
      </c>
    </row>
    <row r="276" spans="1:6" hidden="1" x14ac:dyDescent="0.45">
      <c r="A276" t="s">
        <v>70</v>
      </c>
      <c r="B276" t="s">
        <v>36</v>
      </c>
      <c r="C276" s="1">
        <v>42247</v>
      </c>
      <c r="D276">
        <v>45.51</v>
      </c>
      <c r="E276">
        <v>45.61</v>
      </c>
      <c r="F276">
        <v>-0.22</v>
      </c>
    </row>
    <row r="277" spans="1:6" hidden="1" x14ac:dyDescent="0.45">
      <c r="A277" t="s">
        <v>70</v>
      </c>
      <c r="B277" t="s">
        <v>37</v>
      </c>
      <c r="C277" s="1">
        <v>42277</v>
      </c>
      <c r="D277">
        <v>43.56</v>
      </c>
      <c r="E277">
        <v>45.51</v>
      </c>
      <c r="F277">
        <v>-4.28</v>
      </c>
    </row>
    <row r="278" spans="1:6" hidden="1" x14ac:dyDescent="0.45">
      <c r="A278" t="s">
        <v>70</v>
      </c>
      <c r="B278" t="s">
        <v>38</v>
      </c>
      <c r="C278" s="1">
        <v>42307</v>
      </c>
      <c r="D278">
        <v>48.7</v>
      </c>
      <c r="E278">
        <v>43.56</v>
      </c>
      <c r="F278">
        <v>11.8</v>
      </c>
    </row>
    <row r="279" spans="1:6" hidden="1" x14ac:dyDescent="0.45">
      <c r="A279" t="s">
        <v>70</v>
      </c>
      <c r="B279" t="s">
        <v>39</v>
      </c>
      <c r="C279" s="1">
        <v>42338</v>
      </c>
      <c r="D279">
        <v>53.88</v>
      </c>
      <c r="E279">
        <v>48.7</v>
      </c>
      <c r="F279">
        <v>10.64</v>
      </c>
    </row>
    <row r="280" spans="1:6" hidden="1" x14ac:dyDescent="0.45">
      <c r="A280" t="s">
        <v>70</v>
      </c>
      <c r="B280" t="s">
        <v>40</v>
      </c>
      <c r="C280" s="1">
        <v>42369</v>
      </c>
      <c r="D280">
        <v>55.4</v>
      </c>
      <c r="E280">
        <v>53.88</v>
      </c>
      <c r="F280">
        <v>2.82</v>
      </c>
    </row>
    <row r="281" spans="1:6" hidden="1" x14ac:dyDescent="0.45">
      <c r="A281" t="s">
        <v>70</v>
      </c>
      <c r="B281" t="s">
        <v>41</v>
      </c>
      <c r="C281" s="1">
        <v>42398</v>
      </c>
      <c r="D281">
        <v>52.4</v>
      </c>
      <c r="E281">
        <v>55.4</v>
      </c>
      <c r="F281">
        <v>-5.42</v>
      </c>
    </row>
    <row r="282" spans="1:6" hidden="1" x14ac:dyDescent="0.45">
      <c r="A282" t="s">
        <v>70</v>
      </c>
      <c r="B282" t="s">
        <v>42</v>
      </c>
      <c r="C282" s="1">
        <v>42429</v>
      </c>
      <c r="D282">
        <v>51.38</v>
      </c>
      <c r="E282">
        <v>52.4</v>
      </c>
      <c r="F282">
        <v>-1.95</v>
      </c>
    </row>
    <row r="283" spans="1:6" hidden="1" x14ac:dyDescent="0.45">
      <c r="A283" t="s">
        <v>70</v>
      </c>
      <c r="B283" t="s">
        <v>43</v>
      </c>
      <c r="C283" s="1">
        <v>42460</v>
      </c>
      <c r="D283">
        <v>53.38</v>
      </c>
      <c r="E283">
        <v>51.38</v>
      </c>
      <c r="F283">
        <v>3.89</v>
      </c>
    </row>
    <row r="284" spans="1:6" hidden="1" x14ac:dyDescent="0.45">
      <c r="A284" t="s">
        <v>70</v>
      </c>
      <c r="B284" t="s">
        <v>44</v>
      </c>
      <c r="C284" s="1">
        <v>42489</v>
      </c>
      <c r="D284">
        <v>54.05</v>
      </c>
      <c r="E284">
        <v>53.38</v>
      </c>
      <c r="F284">
        <v>1.26</v>
      </c>
    </row>
    <row r="285" spans="1:6" hidden="1" x14ac:dyDescent="0.45">
      <c r="A285" t="s">
        <v>70</v>
      </c>
      <c r="B285" t="s">
        <v>45</v>
      </c>
      <c r="C285" s="1">
        <v>42521</v>
      </c>
      <c r="D285">
        <v>50.97</v>
      </c>
      <c r="E285">
        <v>54.05</v>
      </c>
      <c r="F285">
        <v>-5.7</v>
      </c>
    </row>
    <row r="286" spans="1:6" hidden="1" x14ac:dyDescent="0.45">
      <c r="A286" t="s">
        <v>70</v>
      </c>
      <c r="B286" t="s">
        <v>46</v>
      </c>
      <c r="C286" s="1">
        <v>42551</v>
      </c>
      <c r="D286">
        <v>50.92</v>
      </c>
      <c r="E286">
        <v>50.97</v>
      </c>
      <c r="F286">
        <v>-0.1</v>
      </c>
    </row>
    <row r="287" spans="1:6" hidden="1" x14ac:dyDescent="0.45">
      <c r="A287" t="s">
        <v>70</v>
      </c>
      <c r="B287" t="s">
        <v>47</v>
      </c>
      <c r="C287" s="1">
        <v>42580</v>
      </c>
      <c r="D287">
        <v>54.1</v>
      </c>
      <c r="E287">
        <v>50.92</v>
      </c>
      <c r="F287">
        <v>6.25</v>
      </c>
    </row>
    <row r="288" spans="1:6" hidden="1" x14ac:dyDescent="0.45">
      <c r="A288" t="s">
        <v>70</v>
      </c>
      <c r="B288" t="s">
        <v>48</v>
      </c>
      <c r="C288" s="1">
        <v>42613</v>
      </c>
      <c r="D288">
        <v>57.72</v>
      </c>
      <c r="E288">
        <v>54.1</v>
      </c>
      <c r="F288">
        <v>6.69</v>
      </c>
    </row>
    <row r="289" spans="1:6" hidden="1" x14ac:dyDescent="0.45">
      <c r="A289" t="s">
        <v>70</v>
      </c>
      <c r="B289" t="s">
        <v>49</v>
      </c>
      <c r="C289" s="1">
        <v>42643</v>
      </c>
      <c r="D289">
        <v>57.29</v>
      </c>
      <c r="E289">
        <v>57.72</v>
      </c>
      <c r="F289">
        <v>-0.74</v>
      </c>
    </row>
    <row r="290" spans="1:6" hidden="1" x14ac:dyDescent="0.45">
      <c r="A290" t="s">
        <v>70</v>
      </c>
      <c r="B290" t="s">
        <v>50</v>
      </c>
      <c r="C290" s="1">
        <v>42674</v>
      </c>
      <c r="D290">
        <v>58.4</v>
      </c>
      <c r="E290">
        <v>57.29</v>
      </c>
      <c r="F290">
        <v>1.94</v>
      </c>
    </row>
    <row r="291" spans="1:6" hidden="1" x14ac:dyDescent="0.45">
      <c r="A291" t="s">
        <v>70</v>
      </c>
      <c r="B291" t="s">
        <v>51</v>
      </c>
      <c r="C291" s="1">
        <v>42704</v>
      </c>
      <c r="D291">
        <v>59.93</v>
      </c>
      <c r="E291">
        <v>58.4</v>
      </c>
      <c r="F291">
        <v>2.62</v>
      </c>
    </row>
    <row r="292" spans="1:6" hidden="1" x14ac:dyDescent="0.45">
      <c r="A292" t="s">
        <v>70</v>
      </c>
      <c r="B292" t="s">
        <v>52</v>
      </c>
      <c r="C292" s="1">
        <v>42734</v>
      </c>
      <c r="D292">
        <v>62.12</v>
      </c>
      <c r="E292">
        <v>59.93</v>
      </c>
      <c r="F292">
        <v>3.65</v>
      </c>
    </row>
    <row r="293" spans="1:6" hidden="1" x14ac:dyDescent="0.45">
      <c r="A293" t="s">
        <v>70</v>
      </c>
      <c r="B293" t="s">
        <v>53</v>
      </c>
      <c r="C293" s="1">
        <v>42766</v>
      </c>
      <c r="D293">
        <v>63.19</v>
      </c>
      <c r="E293">
        <v>62.12</v>
      </c>
      <c r="F293">
        <v>1.72</v>
      </c>
    </row>
    <row r="294" spans="1:6" hidden="1" x14ac:dyDescent="0.45">
      <c r="A294" t="s">
        <v>70</v>
      </c>
      <c r="B294" t="s">
        <v>54</v>
      </c>
      <c r="C294" s="1">
        <v>42794</v>
      </c>
      <c r="D294">
        <v>64.11</v>
      </c>
      <c r="E294">
        <v>63.19</v>
      </c>
      <c r="F294">
        <v>1.46</v>
      </c>
    </row>
    <row r="295" spans="1:6" hidden="1" x14ac:dyDescent="0.45">
      <c r="A295" t="s">
        <v>70</v>
      </c>
      <c r="B295" t="s">
        <v>55</v>
      </c>
      <c r="C295" s="1">
        <v>42825</v>
      </c>
      <c r="D295">
        <v>64.84</v>
      </c>
      <c r="E295">
        <v>64.11</v>
      </c>
      <c r="F295">
        <v>1.1399999999999999</v>
      </c>
    </row>
    <row r="296" spans="1:6" hidden="1" x14ac:dyDescent="0.45">
      <c r="A296" t="s">
        <v>70</v>
      </c>
      <c r="B296" t="s">
        <v>56</v>
      </c>
      <c r="C296" s="1">
        <v>42853</v>
      </c>
      <c r="D296">
        <v>66.17</v>
      </c>
      <c r="E296">
        <v>64.84</v>
      </c>
      <c r="F296">
        <v>2.0499999999999998</v>
      </c>
    </row>
    <row r="297" spans="1:6" hidden="1" x14ac:dyDescent="0.45">
      <c r="A297" t="s">
        <v>70</v>
      </c>
      <c r="B297" t="s">
        <v>57</v>
      </c>
      <c r="C297" s="1">
        <v>42886</v>
      </c>
      <c r="D297">
        <v>68.92</v>
      </c>
      <c r="E297">
        <v>66.17</v>
      </c>
      <c r="F297">
        <v>4.16</v>
      </c>
    </row>
    <row r="298" spans="1:6" hidden="1" x14ac:dyDescent="0.45">
      <c r="A298" t="s">
        <v>70</v>
      </c>
      <c r="B298" t="s">
        <v>58</v>
      </c>
      <c r="C298" s="1">
        <v>42916</v>
      </c>
      <c r="D298">
        <v>70.52</v>
      </c>
      <c r="E298">
        <v>68.92</v>
      </c>
      <c r="F298">
        <v>2.3199999999999998</v>
      </c>
    </row>
    <row r="299" spans="1:6" hidden="1" x14ac:dyDescent="0.45">
      <c r="A299" t="s">
        <v>70</v>
      </c>
      <c r="B299" t="s">
        <v>59</v>
      </c>
      <c r="C299" s="1">
        <v>42947</v>
      </c>
      <c r="D299">
        <v>72.010000000000005</v>
      </c>
      <c r="E299">
        <v>70.52</v>
      </c>
      <c r="F299">
        <v>2.11</v>
      </c>
    </row>
    <row r="300" spans="1:6" hidden="1" x14ac:dyDescent="0.45">
      <c r="A300" t="s">
        <v>70</v>
      </c>
      <c r="B300" t="s">
        <v>60</v>
      </c>
      <c r="C300" s="1">
        <v>42978</v>
      </c>
      <c r="D300">
        <v>72.819999999999993</v>
      </c>
      <c r="E300">
        <v>72.010000000000005</v>
      </c>
      <c r="F300">
        <v>1.1200000000000001</v>
      </c>
    </row>
    <row r="301" spans="1:6" hidden="1" x14ac:dyDescent="0.45">
      <c r="A301" t="s">
        <v>70</v>
      </c>
      <c r="B301" t="s">
        <v>61</v>
      </c>
      <c r="C301" s="1">
        <v>43007</v>
      </c>
      <c r="D301">
        <v>74.34</v>
      </c>
      <c r="E301">
        <v>72.819999999999993</v>
      </c>
      <c r="F301">
        <v>2.09</v>
      </c>
    </row>
    <row r="302" spans="1:6" hidden="1" x14ac:dyDescent="0.45">
      <c r="A302" t="s">
        <v>70</v>
      </c>
      <c r="B302" t="s">
        <v>62</v>
      </c>
      <c r="C302" s="1">
        <v>43039</v>
      </c>
      <c r="D302">
        <v>77.94</v>
      </c>
      <c r="E302">
        <v>74.34</v>
      </c>
      <c r="F302">
        <v>4.84</v>
      </c>
    </row>
    <row r="303" spans="1:6" hidden="1" x14ac:dyDescent="0.45">
      <c r="A303" t="s">
        <v>70</v>
      </c>
      <c r="B303" t="s">
        <v>63</v>
      </c>
      <c r="C303" s="1">
        <v>43069</v>
      </c>
      <c r="D303">
        <v>83.72</v>
      </c>
      <c r="E303">
        <v>77.94</v>
      </c>
      <c r="F303">
        <v>7.42</v>
      </c>
    </row>
    <row r="304" spans="1:6" hidden="1" x14ac:dyDescent="0.45">
      <c r="A304" t="s">
        <v>70</v>
      </c>
      <c r="B304" t="s">
        <v>64</v>
      </c>
      <c r="C304" s="1">
        <v>43098</v>
      </c>
      <c r="D304">
        <v>84.76</v>
      </c>
      <c r="E304">
        <v>83.72</v>
      </c>
      <c r="F304">
        <v>1.24</v>
      </c>
    </row>
    <row r="305" spans="1:6" hidden="1" x14ac:dyDescent="0.45">
      <c r="A305" t="s">
        <v>70</v>
      </c>
      <c r="B305" t="s">
        <v>65</v>
      </c>
      <c r="C305" s="1">
        <v>43131</v>
      </c>
      <c r="D305">
        <v>90.08</v>
      </c>
      <c r="E305">
        <v>84.76</v>
      </c>
      <c r="F305">
        <v>6.28</v>
      </c>
    </row>
    <row r="306" spans="1:6" hidden="1" x14ac:dyDescent="0.45">
      <c r="A306" t="s">
        <v>70</v>
      </c>
      <c r="B306" t="s">
        <v>66</v>
      </c>
      <c r="C306" s="1">
        <v>43138</v>
      </c>
      <c r="D306">
        <v>91</v>
      </c>
      <c r="E306">
        <v>90.08</v>
      </c>
      <c r="F306">
        <v>1.02</v>
      </c>
    </row>
  </sheetData>
  <autoFilter ref="A1:F306" xr:uid="{1CC97556-D32B-4EEE-9A66-BB55AA603E8F}">
    <filterColumn colId="0">
      <filters>
        <filter val="IBM"/>
      </filters>
    </filterColumn>
  </autoFilter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2DAF6-FD95-40DC-ACF2-FBF92B468963}">
  <dimension ref="A1:I428"/>
  <sheetViews>
    <sheetView workbookViewId="0">
      <selection activeCell="J2" sqref="J2"/>
    </sheetView>
  </sheetViews>
  <sheetFormatPr defaultRowHeight="14.25" x14ac:dyDescent="0.45"/>
  <cols>
    <col min="1" max="1" width="7.06640625" bestFit="1" customWidth="1"/>
    <col min="2" max="2" width="10.86328125" bestFit="1" customWidth="1"/>
    <col min="3" max="3" width="6.6640625" bestFit="1" customWidth="1"/>
    <col min="4" max="4" width="6.06640625" bestFit="1" customWidth="1"/>
    <col min="5" max="5" width="7.3984375" bestFit="1" customWidth="1"/>
    <col min="6" max="6" width="12.3984375" bestFit="1" customWidth="1"/>
    <col min="7" max="7" width="7.86328125" bestFit="1" customWidth="1"/>
    <col min="8" max="8" width="10.3984375" bestFit="1" customWidth="1"/>
    <col min="9" max="9" width="12.796875" bestFit="1" customWidth="1"/>
  </cols>
  <sheetData>
    <row r="1" spans="1:9" x14ac:dyDescent="0.45">
      <c r="A1" t="s">
        <v>73</v>
      </c>
      <c r="B1" t="s">
        <v>74</v>
      </c>
      <c r="C1" t="s">
        <v>0</v>
      </c>
      <c r="D1" t="s">
        <v>75</v>
      </c>
      <c r="E1" t="s">
        <v>1</v>
      </c>
      <c r="F1" t="s">
        <v>2</v>
      </c>
      <c r="G1" t="s">
        <v>3</v>
      </c>
      <c r="H1" t="s">
        <v>76</v>
      </c>
      <c r="I1" t="s">
        <v>77</v>
      </c>
    </row>
    <row r="2" spans="1:9" x14ac:dyDescent="0.45">
      <c r="A2" t="s">
        <v>78</v>
      </c>
      <c r="B2" t="s">
        <v>79</v>
      </c>
      <c r="C2" t="s">
        <v>5</v>
      </c>
      <c r="D2">
        <v>50</v>
      </c>
      <c r="E2" t="s">
        <v>6</v>
      </c>
      <c r="F2" s="1">
        <v>41333</v>
      </c>
      <c r="G2">
        <v>65.31</v>
      </c>
      <c r="H2">
        <v>3265.5</v>
      </c>
      <c r="I2">
        <v>265.5</v>
      </c>
    </row>
    <row r="3" spans="1:9" x14ac:dyDescent="0.45">
      <c r="A3" t="s">
        <v>78</v>
      </c>
      <c r="B3" t="s">
        <v>79</v>
      </c>
      <c r="C3" t="s">
        <v>5</v>
      </c>
      <c r="D3">
        <v>50</v>
      </c>
      <c r="E3" t="s">
        <v>7</v>
      </c>
      <c r="F3" s="1">
        <v>41361</v>
      </c>
      <c r="G3">
        <v>63.12</v>
      </c>
      <c r="H3">
        <v>3156</v>
      </c>
      <c r="I3">
        <v>156</v>
      </c>
    </row>
    <row r="4" spans="1:9" x14ac:dyDescent="0.45">
      <c r="A4" t="s">
        <v>78</v>
      </c>
      <c r="B4" t="s">
        <v>79</v>
      </c>
      <c r="C4" t="s">
        <v>5</v>
      </c>
      <c r="D4">
        <v>50</v>
      </c>
      <c r="E4" t="s">
        <v>8</v>
      </c>
      <c r="F4" s="1">
        <v>41394</v>
      </c>
      <c r="G4">
        <v>59.97</v>
      </c>
      <c r="H4">
        <v>2998.5</v>
      </c>
      <c r="I4">
        <v>-1.5</v>
      </c>
    </row>
    <row r="5" spans="1:9" x14ac:dyDescent="0.45">
      <c r="A5" t="s">
        <v>78</v>
      </c>
      <c r="B5" t="s">
        <v>79</v>
      </c>
      <c r="C5" t="s">
        <v>5</v>
      </c>
      <c r="D5">
        <v>50</v>
      </c>
      <c r="E5" t="s">
        <v>9</v>
      </c>
      <c r="F5" s="1">
        <v>41425</v>
      </c>
      <c r="G5">
        <v>63.78</v>
      </c>
      <c r="H5">
        <v>3189</v>
      </c>
      <c r="I5">
        <v>189</v>
      </c>
    </row>
    <row r="6" spans="1:9" x14ac:dyDescent="0.45">
      <c r="A6" t="s">
        <v>78</v>
      </c>
      <c r="B6" t="s">
        <v>79</v>
      </c>
      <c r="C6" t="s">
        <v>5</v>
      </c>
      <c r="D6">
        <v>50</v>
      </c>
      <c r="E6" t="s">
        <v>10</v>
      </c>
      <c r="F6" s="1">
        <v>41453</v>
      </c>
      <c r="G6">
        <v>60.79</v>
      </c>
      <c r="H6">
        <v>3039.5</v>
      </c>
      <c r="I6">
        <v>39.5</v>
      </c>
    </row>
    <row r="7" spans="1:9" x14ac:dyDescent="0.45">
      <c r="A7" t="s">
        <v>78</v>
      </c>
      <c r="B7" t="s">
        <v>79</v>
      </c>
      <c r="C7" t="s">
        <v>5</v>
      </c>
      <c r="D7">
        <v>50</v>
      </c>
      <c r="E7" t="s">
        <v>11</v>
      </c>
      <c r="F7" s="1">
        <v>41486</v>
      </c>
      <c r="G7">
        <v>61.31</v>
      </c>
      <c r="H7">
        <v>3065.5</v>
      </c>
      <c r="I7">
        <v>65.5</v>
      </c>
    </row>
    <row r="8" spans="1:9" x14ac:dyDescent="0.45">
      <c r="A8" t="s">
        <v>78</v>
      </c>
      <c r="B8" t="s">
        <v>79</v>
      </c>
      <c r="C8" t="s">
        <v>5</v>
      </c>
      <c r="D8">
        <v>50</v>
      </c>
      <c r="E8" t="s">
        <v>12</v>
      </c>
      <c r="F8" s="1">
        <v>41516</v>
      </c>
      <c r="G8">
        <v>69.260000000000005</v>
      </c>
      <c r="H8">
        <v>3463</v>
      </c>
      <c r="I8">
        <v>463</v>
      </c>
    </row>
    <row r="9" spans="1:9" x14ac:dyDescent="0.45">
      <c r="A9" t="s">
        <v>78</v>
      </c>
      <c r="B9" t="s">
        <v>79</v>
      </c>
      <c r="C9" t="s">
        <v>5</v>
      </c>
      <c r="D9">
        <v>50</v>
      </c>
      <c r="E9" t="s">
        <v>13</v>
      </c>
      <c r="F9" s="1">
        <v>41547</v>
      </c>
      <c r="G9">
        <v>68.599999999999994</v>
      </c>
      <c r="H9">
        <v>3430</v>
      </c>
      <c r="I9">
        <v>430</v>
      </c>
    </row>
    <row r="10" spans="1:9" x14ac:dyDescent="0.45">
      <c r="A10" t="s">
        <v>78</v>
      </c>
      <c r="B10" t="s">
        <v>79</v>
      </c>
      <c r="C10" t="s">
        <v>5</v>
      </c>
      <c r="D10">
        <v>50</v>
      </c>
      <c r="E10" t="s">
        <v>14</v>
      </c>
      <c r="F10" s="1">
        <v>41578</v>
      </c>
      <c r="G10">
        <v>72.11</v>
      </c>
      <c r="H10">
        <v>3605.5</v>
      </c>
      <c r="I10">
        <v>605.5</v>
      </c>
    </row>
    <row r="11" spans="1:9" x14ac:dyDescent="0.45">
      <c r="A11" t="s">
        <v>78</v>
      </c>
      <c r="B11" t="s">
        <v>79</v>
      </c>
      <c r="C11" t="s">
        <v>5</v>
      </c>
      <c r="D11">
        <v>50</v>
      </c>
      <c r="E11" t="s">
        <v>15</v>
      </c>
      <c r="F11" s="1">
        <v>41607</v>
      </c>
      <c r="G11">
        <v>74.95</v>
      </c>
      <c r="H11">
        <v>3747.5</v>
      </c>
      <c r="I11">
        <v>747.5</v>
      </c>
    </row>
    <row r="12" spans="1:9" x14ac:dyDescent="0.45">
      <c r="A12" t="s">
        <v>78</v>
      </c>
      <c r="B12" t="s">
        <v>79</v>
      </c>
      <c r="C12" t="s">
        <v>5</v>
      </c>
      <c r="D12">
        <v>50</v>
      </c>
      <c r="E12" t="s">
        <v>16</v>
      </c>
      <c r="F12" s="1">
        <v>41639</v>
      </c>
      <c r="G12">
        <v>79.95</v>
      </c>
      <c r="H12">
        <v>3997.5</v>
      </c>
      <c r="I12">
        <v>997.5</v>
      </c>
    </row>
    <row r="13" spans="1:9" x14ac:dyDescent="0.45">
      <c r="A13" t="s">
        <v>78</v>
      </c>
      <c r="B13" t="s">
        <v>79</v>
      </c>
      <c r="C13" t="s">
        <v>5</v>
      </c>
      <c r="D13">
        <v>50</v>
      </c>
      <c r="E13" t="s">
        <v>17</v>
      </c>
      <c r="F13" s="1">
        <v>41670</v>
      </c>
      <c r="G13">
        <v>76.78</v>
      </c>
      <c r="H13">
        <v>3839</v>
      </c>
      <c r="I13">
        <v>839</v>
      </c>
    </row>
    <row r="14" spans="1:9" x14ac:dyDescent="0.45">
      <c r="A14" t="s">
        <v>78</v>
      </c>
      <c r="B14" t="s">
        <v>79</v>
      </c>
      <c r="C14" t="s">
        <v>5</v>
      </c>
      <c r="D14">
        <v>50</v>
      </c>
      <c r="E14" t="s">
        <v>18</v>
      </c>
      <c r="F14" s="1">
        <v>41698</v>
      </c>
      <c r="G14">
        <v>75.23</v>
      </c>
      <c r="H14">
        <v>3761.5</v>
      </c>
      <c r="I14">
        <v>761.5</v>
      </c>
    </row>
    <row r="15" spans="1:9" x14ac:dyDescent="0.45">
      <c r="A15" t="s">
        <v>78</v>
      </c>
      <c r="B15" t="s">
        <v>79</v>
      </c>
      <c r="C15" t="s">
        <v>5</v>
      </c>
      <c r="D15">
        <v>50</v>
      </c>
      <c r="E15" t="s">
        <v>19</v>
      </c>
      <c r="F15" s="1">
        <v>41729</v>
      </c>
      <c r="G15">
        <v>76.17</v>
      </c>
      <c r="H15">
        <v>3808.5</v>
      </c>
      <c r="I15">
        <v>808.5</v>
      </c>
    </row>
    <row r="16" spans="1:9" x14ac:dyDescent="0.45">
      <c r="A16" t="s">
        <v>78</v>
      </c>
      <c r="B16" t="s">
        <v>79</v>
      </c>
      <c r="C16" t="s">
        <v>5</v>
      </c>
      <c r="D16">
        <v>50</v>
      </c>
      <c r="E16" t="s">
        <v>20</v>
      </c>
      <c r="F16" s="1">
        <v>41759</v>
      </c>
      <c r="G16">
        <v>77.3</v>
      </c>
      <c r="H16">
        <v>3865</v>
      </c>
      <c r="I16">
        <v>865</v>
      </c>
    </row>
    <row r="17" spans="1:9" x14ac:dyDescent="0.45">
      <c r="A17" t="s">
        <v>78</v>
      </c>
      <c r="B17" t="s">
        <v>79</v>
      </c>
      <c r="C17" t="s">
        <v>5</v>
      </c>
      <c r="D17">
        <v>50</v>
      </c>
      <c r="E17" t="s">
        <v>21</v>
      </c>
      <c r="F17" s="1">
        <v>41789</v>
      </c>
      <c r="G17">
        <v>86.17</v>
      </c>
      <c r="H17">
        <v>4308.5</v>
      </c>
      <c r="I17">
        <v>1308.5</v>
      </c>
    </row>
    <row r="18" spans="1:9" x14ac:dyDescent="0.45">
      <c r="A18" t="s">
        <v>78</v>
      </c>
      <c r="B18" t="s">
        <v>79</v>
      </c>
      <c r="C18" t="s">
        <v>5</v>
      </c>
      <c r="D18">
        <v>50</v>
      </c>
      <c r="E18" t="s">
        <v>22</v>
      </c>
      <c r="F18" s="1">
        <v>41820</v>
      </c>
      <c r="G18">
        <v>91.89</v>
      </c>
      <c r="H18">
        <v>4594.5</v>
      </c>
      <c r="I18">
        <v>1594.5</v>
      </c>
    </row>
    <row r="19" spans="1:9" x14ac:dyDescent="0.45">
      <c r="A19" t="s">
        <v>78</v>
      </c>
      <c r="B19" t="s">
        <v>79</v>
      </c>
      <c r="C19" t="s">
        <v>5</v>
      </c>
      <c r="D19">
        <v>50</v>
      </c>
      <c r="E19" t="s">
        <v>23</v>
      </c>
      <c r="F19" s="1">
        <v>41851</v>
      </c>
      <c r="G19">
        <v>95.63</v>
      </c>
      <c r="H19">
        <v>4781.5</v>
      </c>
      <c r="I19">
        <v>1781.5</v>
      </c>
    </row>
    <row r="20" spans="1:9" x14ac:dyDescent="0.45">
      <c r="A20" t="s">
        <v>78</v>
      </c>
      <c r="B20" t="s">
        <v>79</v>
      </c>
      <c r="C20" t="s">
        <v>5</v>
      </c>
      <c r="D20">
        <v>50</v>
      </c>
      <c r="E20" t="s">
        <v>24</v>
      </c>
      <c r="F20" s="1">
        <v>41880</v>
      </c>
      <c r="G20">
        <v>98.44</v>
      </c>
      <c r="H20">
        <v>4922</v>
      </c>
      <c r="I20">
        <v>1922</v>
      </c>
    </row>
    <row r="21" spans="1:9" x14ac:dyDescent="0.45">
      <c r="A21" t="s">
        <v>78</v>
      </c>
      <c r="B21" t="s">
        <v>79</v>
      </c>
      <c r="C21" t="s">
        <v>5</v>
      </c>
      <c r="D21">
        <v>50</v>
      </c>
      <c r="E21" t="s">
        <v>25</v>
      </c>
      <c r="F21" s="1">
        <v>41912</v>
      </c>
      <c r="G21">
        <v>100.55</v>
      </c>
      <c r="H21">
        <v>5027.5</v>
      </c>
      <c r="I21">
        <v>2027.5</v>
      </c>
    </row>
    <row r="22" spans="1:9" x14ac:dyDescent="0.45">
      <c r="A22" t="s">
        <v>78</v>
      </c>
      <c r="B22" t="s">
        <v>79</v>
      </c>
      <c r="C22" t="s">
        <v>5</v>
      </c>
      <c r="D22">
        <v>50</v>
      </c>
      <c r="E22" t="s">
        <v>26</v>
      </c>
      <c r="F22" s="1">
        <v>41943</v>
      </c>
      <c r="G22">
        <v>101.7</v>
      </c>
      <c r="H22">
        <v>5085</v>
      </c>
      <c r="I22">
        <v>2085</v>
      </c>
    </row>
    <row r="23" spans="1:9" x14ac:dyDescent="0.45">
      <c r="A23" t="s">
        <v>78</v>
      </c>
      <c r="B23" t="s">
        <v>79</v>
      </c>
      <c r="C23" t="s">
        <v>5</v>
      </c>
      <c r="D23">
        <v>50</v>
      </c>
      <c r="E23" t="s">
        <v>27</v>
      </c>
      <c r="F23" s="1">
        <v>41971</v>
      </c>
      <c r="G23">
        <v>113.28</v>
      </c>
      <c r="H23">
        <v>5664</v>
      </c>
      <c r="I23">
        <v>2664</v>
      </c>
    </row>
    <row r="24" spans="1:9" x14ac:dyDescent="0.45">
      <c r="A24" t="s">
        <v>78</v>
      </c>
      <c r="B24" t="s">
        <v>79</v>
      </c>
      <c r="C24" t="s">
        <v>5</v>
      </c>
      <c r="D24">
        <v>50</v>
      </c>
      <c r="E24" t="s">
        <v>28</v>
      </c>
      <c r="F24" s="1">
        <v>42004</v>
      </c>
      <c r="G24">
        <v>112.41</v>
      </c>
      <c r="H24">
        <v>5620.5</v>
      </c>
      <c r="I24">
        <v>2620.5</v>
      </c>
    </row>
    <row r="25" spans="1:9" x14ac:dyDescent="0.45">
      <c r="A25" t="s">
        <v>78</v>
      </c>
      <c r="B25" t="s">
        <v>79</v>
      </c>
      <c r="C25" t="s">
        <v>5</v>
      </c>
      <c r="D25">
        <v>50</v>
      </c>
      <c r="E25" t="s">
        <v>29</v>
      </c>
      <c r="F25" s="1">
        <v>42034</v>
      </c>
      <c r="G25">
        <v>110.64</v>
      </c>
      <c r="H25">
        <v>5532</v>
      </c>
      <c r="I25">
        <v>2532</v>
      </c>
    </row>
    <row r="26" spans="1:9" x14ac:dyDescent="0.45">
      <c r="A26" t="s">
        <v>78</v>
      </c>
      <c r="B26" t="s">
        <v>79</v>
      </c>
      <c r="C26" t="s">
        <v>5</v>
      </c>
      <c r="D26">
        <v>50</v>
      </c>
      <c r="E26" t="s">
        <v>30</v>
      </c>
      <c r="F26" s="1">
        <v>42062</v>
      </c>
      <c r="G26">
        <v>125.43</v>
      </c>
      <c r="H26">
        <v>6271.5</v>
      </c>
      <c r="I26">
        <v>3271.5</v>
      </c>
    </row>
    <row r="27" spans="1:9" x14ac:dyDescent="0.45">
      <c r="A27" t="s">
        <v>78</v>
      </c>
      <c r="B27" t="s">
        <v>79</v>
      </c>
      <c r="C27" t="s">
        <v>5</v>
      </c>
      <c r="D27">
        <v>50</v>
      </c>
      <c r="E27" t="s">
        <v>31</v>
      </c>
      <c r="F27" s="1">
        <v>42094</v>
      </c>
      <c r="G27">
        <v>125.97</v>
      </c>
      <c r="H27">
        <v>6298.5</v>
      </c>
      <c r="I27">
        <v>3298.5</v>
      </c>
    </row>
    <row r="28" spans="1:9" x14ac:dyDescent="0.45">
      <c r="A28" t="s">
        <v>78</v>
      </c>
      <c r="B28" t="s">
        <v>79</v>
      </c>
      <c r="C28" t="s">
        <v>5</v>
      </c>
      <c r="D28">
        <v>50</v>
      </c>
      <c r="E28" t="s">
        <v>32</v>
      </c>
      <c r="F28" s="1">
        <v>42124</v>
      </c>
      <c r="G28">
        <v>127.29</v>
      </c>
      <c r="H28">
        <v>6364.5</v>
      </c>
      <c r="I28">
        <v>3364.5</v>
      </c>
    </row>
    <row r="29" spans="1:9" x14ac:dyDescent="0.45">
      <c r="A29" t="s">
        <v>78</v>
      </c>
      <c r="B29" t="s">
        <v>79</v>
      </c>
      <c r="C29" t="s">
        <v>5</v>
      </c>
      <c r="D29">
        <v>50</v>
      </c>
      <c r="E29" t="s">
        <v>33</v>
      </c>
      <c r="F29" s="1">
        <v>42153</v>
      </c>
      <c r="G29">
        <v>128.76</v>
      </c>
      <c r="H29">
        <v>6438</v>
      </c>
      <c r="I29">
        <v>3438</v>
      </c>
    </row>
    <row r="30" spans="1:9" x14ac:dyDescent="0.45">
      <c r="A30" t="s">
        <v>78</v>
      </c>
      <c r="B30" t="s">
        <v>79</v>
      </c>
      <c r="C30" t="s">
        <v>5</v>
      </c>
      <c r="D30">
        <v>50</v>
      </c>
      <c r="E30" t="s">
        <v>34</v>
      </c>
      <c r="F30" s="1">
        <v>42185</v>
      </c>
      <c r="G30">
        <v>127.81</v>
      </c>
      <c r="H30">
        <v>6390.5</v>
      </c>
      <c r="I30">
        <v>3390.5</v>
      </c>
    </row>
    <row r="31" spans="1:9" x14ac:dyDescent="0.45">
      <c r="A31" t="s">
        <v>78</v>
      </c>
      <c r="B31" t="s">
        <v>79</v>
      </c>
      <c r="C31" t="s">
        <v>5</v>
      </c>
      <c r="D31">
        <v>50</v>
      </c>
      <c r="E31" t="s">
        <v>35</v>
      </c>
      <c r="F31" s="1">
        <v>42216</v>
      </c>
      <c r="G31">
        <v>125.34</v>
      </c>
      <c r="H31">
        <v>6267</v>
      </c>
      <c r="I31">
        <v>3267</v>
      </c>
    </row>
    <row r="32" spans="1:9" x14ac:dyDescent="0.45">
      <c r="A32" t="s">
        <v>78</v>
      </c>
      <c r="B32" t="s">
        <v>79</v>
      </c>
      <c r="C32" t="s">
        <v>5</v>
      </c>
      <c r="D32">
        <v>50</v>
      </c>
      <c r="E32" t="s">
        <v>36</v>
      </c>
      <c r="F32" s="1">
        <v>42247</v>
      </c>
      <c r="G32">
        <v>113.39</v>
      </c>
      <c r="H32">
        <v>5669.5</v>
      </c>
      <c r="I32">
        <v>2669.5</v>
      </c>
    </row>
    <row r="33" spans="1:9" x14ac:dyDescent="0.45">
      <c r="A33" t="s">
        <v>78</v>
      </c>
      <c r="B33" t="s">
        <v>79</v>
      </c>
      <c r="C33" t="s">
        <v>5</v>
      </c>
      <c r="D33">
        <v>50</v>
      </c>
      <c r="E33" t="s">
        <v>37</v>
      </c>
      <c r="F33" s="1">
        <v>42277</v>
      </c>
      <c r="G33">
        <v>112.8</v>
      </c>
      <c r="H33">
        <v>5640</v>
      </c>
      <c r="I33">
        <v>2640</v>
      </c>
    </row>
    <row r="34" spans="1:9" x14ac:dyDescent="0.45">
      <c r="A34" t="s">
        <v>78</v>
      </c>
      <c r="B34" t="s">
        <v>79</v>
      </c>
      <c r="C34" t="s">
        <v>5</v>
      </c>
      <c r="D34">
        <v>50</v>
      </c>
      <c r="E34" t="s">
        <v>38</v>
      </c>
      <c r="F34" s="1">
        <v>42307</v>
      </c>
      <c r="G34">
        <v>113.36</v>
      </c>
      <c r="H34">
        <v>5668</v>
      </c>
      <c r="I34">
        <v>2668</v>
      </c>
    </row>
    <row r="35" spans="1:9" x14ac:dyDescent="0.45">
      <c r="A35" t="s">
        <v>78</v>
      </c>
      <c r="B35" t="s">
        <v>79</v>
      </c>
      <c r="C35" t="s">
        <v>5</v>
      </c>
      <c r="D35">
        <v>50</v>
      </c>
      <c r="E35" t="s">
        <v>39</v>
      </c>
      <c r="F35" s="1">
        <v>42338</v>
      </c>
      <c r="G35">
        <v>118.16</v>
      </c>
      <c r="H35">
        <v>5908</v>
      </c>
      <c r="I35">
        <v>2908</v>
      </c>
    </row>
    <row r="36" spans="1:9" x14ac:dyDescent="0.45">
      <c r="A36" t="s">
        <v>78</v>
      </c>
      <c r="B36" t="s">
        <v>79</v>
      </c>
      <c r="C36" t="s">
        <v>5</v>
      </c>
      <c r="D36">
        <v>50</v>
      </c>
      <c r="E36" t="s">
        <v>40</v>
      </c>
      <c r="F36" s="1">
        <v>42369</v>
      </c>
      <c r="G36">
        <v>111.73</v>
      </c>
      <c r="H36">
        <v>5586.5</v>
      </c>
      <c r="I36">
        <v>2586.5</v>
      </c>
    </row>
    <row r="37" spans="1:9" x14ac:dyDescent="0.45">
      <c r="A37" t="s">
        <v>78</v>
      </c>
      <c r="B37" t="s">
        <v>79</v>
      </c>
      <c r="C37" t="s">
        <v>5</v>
      </c>
      <c r="D37">
        <v>50</v>
      </c>
      <c r="E37" t="s">
        <v>41</v>
      </c>
      <c r="F37" s="1">
        <v>42398</v>
      </c>
      <c r="G37">
        <v>98.43</v>
      </c>
      <c r="H37">
        <v>4921.5</v>
      </c>
      <c r="I37">
        <v>1921.5</v>
      </c>
    </row>
    <row r="38" spans="1:9" x14ac:dyDescent="0.45">
      <c r="A38" t="s">
        <v>78</v>
      </c>
      <c r="B38" t="s">
        <v>79</v>
      </c>
      <c r="C38" t="s">
        <v>5</v>
      </c>
      <c r="D38">
        <v>50</v>
      </c>
      <c r="E38" t="s">
        <v>42</v>
      </c>
      <c r="F38" s="1">
        <v>42429</v>
      </c>
      <c r="G38">
        <v>95.75</v>
      </c>
      <c r="H38">
        <v>4787.5</v>
      </c>
      <c r="I38">
        <v>1787.5</v>
      </c>
    </row>
    <row r="39" spans="1:9" x14ac:dyDescent="0.45">
      <c r="A39" t="s">
        <v>78</v>
      </c>
      <c r="B39" t="s">
        <v>79</v>
      </c>
      <c r="C39" t="s">
        <v>5</v>
      </c>
      <c r="D39">
        <v>50</v>
      </c>
      <c r="E39" t="s">
        <v>43</v>
      </c>
      <c r="F39" s="1">
        <v>42460</v>
      </c>
      <c r="G39">
        <v>104.27</v>
      </c>
      <c r="H39">
        <v>5213.5</v>
      </c>
      <c r="I39">
        <v>2213.5</v>
      </c>
    </row>
    <row r="40" spans="1:9" x14ac:dyDescent="0.45">
      <c r="A40" t="s">
        <v>78</v>
      </c>
      <c r="B40" t="s">
        <v>79</v>
      </c>
      <c r="C40" t="s">
        <v>5</v>
      </c>
      <c r="D40">
        <v>50</v>
      </c>
      <c r="E40" t="s">
        <v>44</v>
      </c>
      <c r="F40" s="1">
        <v>42489</v>
      </c>
      <c r="G40">
        <v>106.74</v>
      </c>
      <c r="H40">
        <v>5337</v>
      </c>
      <c r="I40">
        <v>2337</v>
      </c>
    </row>
    <row r="41" spans="1:9" x14ac:dyDescent="0.45">
      <c r="A41" t="s">
        <v>78</v>
      </c>
      <c r="B41" t="s">
        <v>79</v>
      </c>
      <c r="C41" t="s">
        <v>5</v>
      </c>
      <c r="D41">
        <v>50</v>
      </c>
      <c r="E41" t="s">
        <v>45</v>
      </c>
      <c r="F41" s="1">
        <v>42521</v>
      </c>
      <c r="G41">
        <v>94.97</v>
      </c>
      <c r="H41">
        <v>4748.5</v>
      </c>
      <c r="I41">
        <v>1748.5</v>
      </c>
    </row>
    <row r="42" spans="1:9" x14ac:dyDescent="0.45">
      <c r="A42" t="s">
        <v>78</v>
      </c>
      <c r="B42" t="s">
        <v>79</v>
      </c>
      <c r="C42" t="s">
        <v>5</v>
      </c>
      <c r="D42">
        <v>50</v>
      </c>
      <c r="E42" t="s">
        <v>46</v>
      </c>
      <c r="F42" s="1">
        <v>42551</v>
      </c>
      <c r="G42">
        <v>96.62</v>
      </c>
      <c r="H42">
        <v>4831</v>
      </c>
      <c r="I42">
        <v>1831</v>
      </c>
    </row>
    <row r="43" spans="1:9" x14ac:dyDescent="0.45">
      <c r="A43" t="s">
        <v>78</v>
      </c>
      <c r="B43" t="s">
        <v>79</v>
      </c>
      <c r="C43" t="s">
        <v>5</v>
      </c>
      <c r="D43">
        <v>50</v>
      </c>
      <c r="E43" t="s">
        <v>47</v>
      </c>
      <c r="F43" s="1">
        <v>42580</v>
      </c>
      <c r="G43">
        <v>98.56</v>
      </c>
      <c r="H43">
        <v>4928</v>
      </c>
      <c r="I43">
        <v>1928</v>
      </c>
    </row>
    <row r="44" spans="1:9" x14ac:dyDescent="0.45">
      <c r="A44" t="s">
        <v>78</v>
      </c>
      <c r="B44" t="s">
        <v>79</v>
      </c>
      <c r="C44" t="s">
        <v>5</v>
      </c>
      <c r="D44">
        <v>50</v>
      </c>
      <c r="E44" t="s">
        <v>48</v>
      </c>
      <c r="F44" s="1">
        <v>42613</v>
      </c>
      <c r="G44">
        <v>107.67</v>
      </c>
      <c r="H44">
        <v>5383.5</v>
      </c>
      <c r="I44">
        <v>2383.5</v>
      </c>
    </row>
    <row r="45" spans="1:9" x14ac:dyDescent="0.45">
      <c r="A45" t="s">
        <v>78</v>
      </c>
      <c r="B45" t="s">
        <v>79</v>
      </c>
      <c r="C45" t="s">
        <v>5</v>
      </c>
      <c r="D45">
        <v>50</v>
      </c>
      <c r="E45" t="s">
        <v>49</v>
      </c>
      <c r="F45" s="1">
        <v>42643</v>
      </c>
      <c r="G45">
        <v>110.86</v>
      </c>
      <c r="H45">
        <v>5543</v>
      </c>
      <c r="I45">
        <v>2543</v>
      </c>
    </row>
    <row r="46" spans="1:9" x14ac:dyDescent="0.45">
      <c r="A46" t="s">
        <v>78</v>
      </c>
      <c r="B46" t="s">
        <v>79</v>
      </c>
      <c r="C46" t="s">
        <v>5</v>
      </c>
      <c r="D46">
        <v>50</v>
      </c>
      <c r="E46" t="s">
        <v>50</v>
      </c>
      <c r="F46" s="1">
        <v>42674</v>
      </c>
      <c r="G46">
        <v>115.71</v>
      </c>
      <c r="H46">
        <v>5785.5</v>
      </c>
      <c r="I46">
        <v>2785.5</v>
      </c>
    </row>
    <row r="47" spans="1:9" x14ac:dyDescent="0.45">
      <c r="A47" t="s">
        <v>78</v>
      </c>
      <c r="B47" t="s">
        <v>79</v>
      </c>
      <c r="C47" t="s">
        <v>5</v>
      </c>
      <c r="D47">
        <v>50</v>
      </c>
      <c r="E47" t="s">
        <v>51</v>
      </c>
      <c r="F47" s="1">
        <v>42704</v>
      </c>
      <c r="G47">
        <v>110.15</v>
      </c>
      <c r="H47">
        <v>5507.5</v>
      </c>
      <c r="I47">
        <v>2507.5</v>
      </c>
    </row>
    <row r="48" spans="1:9" x14ac:dyDescent="0.45">
      <c r="A48" t="s">
        <v>78</v>
      </c>
      <c r="B48" t="s">
        <v>79</v>
      </c>
      <c r="C48" t="s">
        <v>5</v>
      </c>
      <c r="D48">
        <v>50</v>
      </c>
      <c r="E48" t="s">
        <v>52</v>
      </c>
      <c r="F48" s="1">
        <v>42734</v>
      </c>
      <c r="G48">
        <v>114.34</v>
      </c>
      <c r="H48">
        <v>5717</v>
      </c>
      <c r="I48">
        <v>2717</v>
      </c>
    </row>
    <row r="49" spans="1:9" x14ac:dyDescent="0.45">
      <c r="A49" t="s">
        <v>78</v>
      </c>
      <c r="B49" t="s">
        <v>79</v>
      </c>
      <c r="C49" t="s">
        <v>5</v>
      </c>
      <c r="D49">
        <v>50</v>
      </c>
      <c r="E49" t="s">
        <v>53</v>
      </c>
      <c r="F49" s="1">
        <v>42766</v>
      </c>
      <c r="G49">
        <v>119.57</v>
      </c>
      <c r="H49">
        <v>5978.5</v>
      </c>
      <c r="I49">
        <v>2978.5</v>
      </c>
    </row>
    <row r="50" spans="1:9" x14ac:dyDescent="0.45">
      <c r="A50" t="s">
        <v>78</v>
      </c>
      <c r="B50" t="s">
        <v>79</v>
      </c>
      <c r="C50" t="s">
        <v>5</v>
      </c>
      <c r="D50">
        <v>50</v>
      </c>
      <c r="E50" t="s">
        <v>54</v>
      </c>
      <c r="F50" s="1">
        <v>42794</v>
      </c>
      <c r="G50">
        <v>133.71</v>
      </c>
      <c r="H50">
        <v>6685.5</v>
      </c>
      <c r="I50">
        <v>3685.5</v>
      </c>
    </row>
    <row r="51" spans="1:9" x14ac:dyDescent="0.45">
      <c r="A51" t="s">
        <v>78</v>
      </c>
      <c r="B51" t="s">
        <v>79</v>
      </c>
      <c r="C51" t="s">
        <v>5</v>
      </c>
      <c r="D51">
        <v>50</v>
      </c>
      <c r="E51" t="s">
        <v>55</v>
      </c>
      <c r="F51" s="1">
        <v>42825</v>
      </c>
      <c r="G51">
        <v>140.62</v>
      </c>
      <c r="H51">
        <v>7031</v>
      </c>
      <c r="I51">
        <v>4031</v>
      </c>
    </row>
    <row r="52" spans="1:9" x14ac:dyDescent="0.45">
      <c r="A52" t="s">
        <v>78</v>
      </c>
      <c r="B52" t="s">
        <v>79</v>
      </c>
      <c r="C52" t="s">
        <v>5</v>
      </c>
      <c r="D52">
        <v>50</v>
      </c>
      <c r="E52" t="s">
        <v>56</v>
      </c>
      <c r="F52" s="1">
        <v>42853</v>
      </c>
      <c r="G52">
        <v>142.88999999999999</v>
      </c>
      <c r="H52">
        <v>7144.5</v>
      </c>
      <c r="I52">
        <v>4144.5</v>
      </c>
    </row>
    <row r="53" spans="1:9" x14ac:dyDescent="0.45">
      <c r="A53" t="s">
        <v>78</v>
      </c>
      <c r="B53" t="s">
        <v>79</v>
      </c>
      <c r="C53" t="s">
        <v>5</v>
      </c>
      <c r="D53">
        <v>50</v>
      </c>
      <c r="E53" t="s">
        <v>57</v>
      </c>
      <c r="F53" s="1">
        <v>42886</v>
      </c>
      <c r="G53">
        <v>152.22999999999999</v>
      </c>
      <c r="H53">
        <v>7611.5</v>
      </c>
      <c r="I53">
        <v>4611.5</v>
      </c>
    </row>
    <row r="54" spans="1:9" x14ac:dyDescent="0.45">
      <c r="A54" t="s">
        <v>78</v>
      </c>
      <c r="B54" t="s">
        <v>79</v>
      </c>
      <c r="C54" t="s">
        <v>5</v>
      </c>
      <c r="D54">
        <v>50</v>
      </c>
      <c r="E54" t="s">
        <v>58</v>
      </c>
      <c r="F54" s="1">
        <v>42916</v>
      </c>
      <c r="G54">
        <v>147.83000000000001</v>
      </c>
      <c r="H54">
        <v>7391.5</v>
      </c>
      <c r="I54">
        <v>4391.5</v>
      </c>
    </row>
    <row r="55" spans="1:9" x14ac:dyDescent="0.45">
      <c r="A55" t="s">
        <v>78</v>
      </c>
      <c r="B55" t="s">
        <v>79</v>
      </c>
      <c r="C55" t="s">
        <v>5</v>
      </c>
      <c r="D55">
        <v>50</v>
      </c>
      <c r="E55" t="s">
        <v>59</v>
      </c>
      <c r="F55" s="1">
        <v>42947</v>
      </c>
      <c r="G55">
        <v>148.30000000000001</v>
      </c>
      <c r="H55">
        <v>7415</v>
      </c>
      <c r="I55">
        <v>4415</v>
      </c>
    </row>
    <row r="56" spans="1:9" x14ac:dyDescent="0.45">
      <c r="A56" t="s">
        <v>78</v>
      </c>
      <c r="B56" t="s">
        <v>79</v>
      </c>
      <c r="C56" t="s">
        <v>5</v>
      </c>
      <c r="D56">
        <v>50</v>
      </c>
      <c r="E56" t="s">
        <v>60</v>
      </c>
      <c r="F56" s="1">
        <v>42978</v>
      </c>
      <c r="G56">
        <v>159.38999999999999</v>
      </c>
      <c r="H56">
        <v>7969.5</v>
      </c>
      <c r="I56">
        <v>4969.5</v>
      </c>
    </row>
    <row r="57" spans="1:9" x14ac:dyDescent="0.45">
      <c r="A57" t="s">
        <v>78</v>
      </c>
      <c r="B57" t="s">
        <v>79</v>
      </c>
      <c r="C57" t="s">
        <v>5</v>
      </c>
      <c r="D57">
        <v>50</v>
      </c>
      <c r="E57" t="s">
        <v>61</v>
      </c>
      <c r="F57" s="1">
        <v>43007</v>
      </c>
      <c r="G57">
        <v>157.61000000000001</v>
      </c>
      <c r="H57">
        <v>7880.5</v>
      </c>
      <c r="I57">
        <v>4880.5</v>
      </c>
    </row>
    <row r="58" spans="1:9" x14ac:dyDescent="0.45">
      <c r="A58" t="s">
        <v>78</v>
      </c>
      <c r="B58" t="s">
        <v>79</v>
      </c>
      <c r="C58" t="s">
        <v>5</v>
      </c>
      <c r="D58">
        <v>50</v>
      </c>
      <c r="E58" t="s">
        <v>62</v>
      </c>
      <c r="F58" s="1">
        <v>43039</v>
      </c>
      <c r="G58">
        <v>157.82</v>
      </c>
      <c r="H58">
        <v>7891</v>
      </c>
      <c r="I58">
        <v>4891</v>
      </c>
    </row>
    <row r="59" spans="1:9" x14ac:dyDescent="0.45">
      <c r="A59" t="s">
        <v>78</v>
      </c>
      <c r="B59" t="s">
        <v>79</v>
      </c>
      <c r="C59" t="s">
        <v>5</v>
      </c>
      <c r="D59">
        <v>50</v>
      </c>
      <c r="E59" t="s">
        <v>63</v>
      </c>
      <c r="F59" s="1">
        <v>43069</v>
      </c>
      <c r="G59">
        <v>172.41</v>
      </c>
      <c r="H59">
        <v>8620.5</v>
      </c>
      <c r="I59">
        <v>5620.5</v>
      </c>
    </row>
    <row r="60" spans="1:9" x14ac:dyDescent="0.45">
      <c r="A60" t="s">
        <v>78</v>
      </c>
      <c r="B60" t="s">
        <v>79</v>
      </c>
      <c r="C60" t="s">
        <v>5</v>
      </c>
      <c r="D60">
        <v>50</v>
      </c>
      <c r="E60" t="s">
        <v>64</v>
      </c>
      <c r="F60" s="1">
        <v>43098</v>
      </c>
      <c r="G60">
        <v>171.89</v>
      </c>
      <c r="H60">
        <v>8594.5</v>
      </c>
      <c r="I60">
        <v>5594.5</v>
      </c>
    </row>
    <row r="61" spans="1:9" x14ac:dyDescent="0.45">
      <c r="A61" t="s">
        <v>78</v>
      </c>
      <c r="B61" t="s">
        <v>79</v>
      </c>
      <c r="C61" t="s">
        <v>5</v>
      </c>
      <c r="D61">
        <v>50</v>
      </c>
      <c r="E61" t="s">
        <v>65</v>
      </c>
      <c r="F61" s="1">
        <v>43131</v>
      </c>
      <c r="G61">
        <v>174.01</v>
      </c>
      <c r="H61">
        <v>8700.5</v>
      </c>
      <c r="I61">
        <v>5700.5</v>
      </c>
    </row>
    <row r="62" spans="1:9" x14ac:dyDescent="0.45">
      <c r="A62" t="s">
        <v>78</v>
      </c>
      <c r="B62" t="s">
        <v>79</v>
      </c>
      <c r="C62" t="s">
        <v>5</v>
      </c>
      <c r="D62">
        <v>50</v>
      </c>
      <c r="E62" t="s">
        <v>66</v>
      </c>
      <c r="F62" s="1">
        <v>43138</v>
      </c>
      <c r="G62">
        <v>161.47</v>
      </c>
      <c r="H62">
        <v>8073.5</v>
      </c>
      <c r="I62">
        <v>5073.5</v>
      </c>
    </row>
    <row r="63" spans="1:9" x14ac:dyDescent="0.45">
      <c r="A63" t="s">
        <v>78</v>
      </c>
      <c r="B63" t="s">
        <v>79</v>
      </c>
      <c r="C63" t="s">
        <v>70</v>
      </c>
      <c r="D63">
        <v>30</v>
      </c>
      <c r="E63" t="s">
        <v>6</v>
      </c>
      <c r="F63" s="1">
        <v>41333</v>
      </c>
      <c r="G63">
        <v>27.78</v>
      </c>
      <c r="H63">
        <v>833.4</v>
      </c>
      <c r="I63">
        <v>-6.6</v>
      </c>
    </row>
    <row r="64" spans="1:9" x14ac:dyDescent="0.45">
      <c r="A64" t="s">
        <v>78</v>
      </c>
      <c r="B64" t="s">
        <v>79</v>
      </c>
      <c r="C64" t="s">
        <v>70</v>
      </c>
      <c r="D64">
        <v>30</v>
      </c>
      <c r="E64" t="s">
        <v>7</v>
      </c>
      <c r="F64" s="1">
        <v>41361</v>
      </c>
      <c r="G64">
        <v>28.14</v>
      </c>
      <c r="H64">
        <v>844.2</v>
      </c>
      <c r="I64">
        <v>4.2</v>
      </c>
    </row>
    <row r="65" spans="1:9" x14ac:dyDescent="0.45">
      <c r="A65" t="s">
        <v>78</v>
      </c>
      <c r="B65" t="s">
        <v>79</v>
      </c>
      <c r="C65" t="s">
        <v>70</v>
      </c>
      <c r="D65">
        <v>30</v>
      </c>
      <c r="E65" t="s">
        <v>8</v>
      </c>
      <c r="F65" s="1">
        <v>41394</v>
      </c>
      <c r="G65">
        <v>29.87</v>
      </c>
      <c r="H65">
        <v>896.1</v>
      </c>
      <c r="I65">
        <v>56.1</v>
      </c>
    </row>
    <row r="66" spans="1:9" x14ac:dyDescent="0.45">
      <c r="A66" t="s">
        <v>78</v>
      </c>
      <c r="B66" t="s">
        <v>79</v>
      </c>
      <c r="C66" t="s">
        <v>70</v>
      </c>
      <c r="D66">
        <v>30</v>
      </c>
      <c r="E66" t="s">
        <v>9</v>
      </c>
      <c r="F66" s="1">
        <v>41425</v>
      </c>
      <c r="G66">
        <v>33.950000000000003</v>
      </c>
      <c r="H66">
        <v>1018.5</v>
      </c>
      <c r="I66">
        <v>178.5</v>
      </c>
    </row>
    <row r="67" spans="1:9" x14ac:dyDescent="0.45">
      <c r="A67" t="s">
        <v>78</v>
      </c>
      <c r="B67" t="s">
        <v>79</v>
      </c>
      <c r="C67" t="s">
        <v>70</v>
      </c>
      <c r="D67">
        <v>30</v>
      </c>
      <c r="E67" t="s">
        <v>10</v>
      </c>
      <c r="F67" s="1">
        <v>41453</v>
      </c>
      <c r="G67">
        <v>34.630000000000003</v>
      </c>
      <c r="H67">
        <v>1038.9000000000001</v>
      </c>
      <c r="I67">
        <v>198.9</v>
      </c>
    </row>
    <row r="68" spans="1:9" x14ac:dyDescent="0.45">
      <c r="A68" t="s">
        <v>78</v>
      </c>
      <c r="B68" t="s">
        <v>79</v>
      </c>
      <c r="C68" t="s">
        <v>70</v>
      </c>
      <c r="D68">
        <v>30</v>
      </c>
      <c r="E68" t="s">
        <v>11</v>
      </c>
      <c r="F68" s="1">
        <v>41486</v>
      </c>
      <c r="G68">
        <v>33.65</v>
      </c>
      <c r="H68">
        <v>1009.5</v>
      </c>
      <c r="I68">
        <v>169.5</v>
      </c>
    </row>
    <row r="69" spans="1:9" x14ac:dyDescent="0.45">
      <c r="A69" t="s">
        <v>78</v>
      </c>
      <c r="B69" t="s">
        <v>79</v>
      </c>
      <c r="C69" t="s">
        <v>70</v>
      </c>
      <c r="D69">
        <v>30</v>
      </c>
      <c r="E69" t="s">
        <v>12</v>
      </c>
      <c r="F69" s="1">
        <v>41516</v>
      </c>
      <c r="G69">
        <v>32.49</v>
      </c>
      <c r="H69">
        <v>974.7</v>
      </c>
      <c r="I69">
        <v>134.69999999999999</v>
      </c>
    </row>
    <row r="70" spans="1:9" x14ac:dyDescent="0.45">
      <c r="A70" t="s">
        <v>78</v>
      </c>
      <c r="B70" t="s">
        <v>79</v>
      </c>
      <c r="C70" t="s">
        <v>70</v>
      </c>
      <c r="D70">
        <v>30</v>
      </c>
      <c r="E70" t="s">
        <v>13</v>
      </c>
      <c r="F70" s="1">
        <v>41547</v>
      </c>
      <c r="G70">
        <v>32.520000000000003</v>
      </c>
      <c r="H70">
        <v>975.6</v>
      </c>
      <c r="I70">
        <v>135.6</v>
      </c>
    </row>
    <row r="71" spans="1:9" x14ac:dyDescent="0.45">
      <c r="A71" t="s">
        <v>78</v>
      </c>
      <c r="B71" t="s">
        <v>79</v>
      </c>
      <c r="C71" t="s">
        <v>70</v>
      </c>
      <c r="D71">
        <v>30</v>
      </c>
      <c r="E71" t="s">
        <v>14</v>
      </c>
      <c r="F71" s="1">
        <v>41578</v>
      </c>
      <c r="G71">
        <v>34.380000000000003</v>
      </c>
      <c r="H71">
        <v>1031.4000000000001</v>
      </c>
      <c r="I71">
        <v>191.4</v>
      </c>
    </row>
    <row r="72" spans="1:9" x14ac:dyDescent="0.45">
      <c r="A72" t="s">
        <v>78</v>
      </c>
      <c r="B72" t="s">
        <v>79</v>
      </c>
      <c r="C72" t="s">
        <v>70</v>
      </c>
      <c r="D72">
        <v>30</v>
      </c>
      <c r="E72" t="s">
        <v>15</v>
      </c>
      <c r="F72" s="1">
        <v>41607</v>
      </c>
      <c r="G72">
        <v>37.36</v>
      </c>
      <c r="H72">
        <v>1120.8</v>
      </c>
      <c r="I72">
        <v>280.8</v>
      </c>
    </row>
    <row r="73" spans="1:9" x14ac:dyDescent="0.45">
      <c r="A73" t="s">
        <v>78</v>
      </c>
      <c r="B73" t="s">
        <v>79</v>
      </c>
      <c r="C73" t="s">
        <v>70</v>
      </c>
      <c r="D73">
        <v>30</v>
      </c>
      <c r="E73" t="s">
        <v>16</v>
      </c>
      <c r="F73" s="1">
        <v>41639</v>
      </c>
      <c r="G73">
        <v>37.46</v>
      </c>
      <c r="H73">
        <v>1123.8</v>
      </c>
      <c r="I73">
        <v>283.8</v>
      </c>
    </row>
    <row r="74" spans="1:9" x14ac:dyDescent="0.45">
      <c r="A74" t="s">
        <v>78</v>
      </c>
      <c r="B74" t="s">
        <v>79</v>
      </c>
      <c r="C74" t="s">
        <v>70</v>
      </c>
      <c r="D74">
        <v>30</v>
      </c>
      <c r="E74" t="s">
        <v>17</v>
      </c>
      <c r="F74" s="1">
        <v>41670</v>
      </c>
      <c r="G74">
        <v>36.35</v>
      </c>
      <c r="H74">
        <v>1090.5</v>
      </c>
      <c r="I74">
        <v>250.5</v>
      </c>
    </row>
    <row r="75" spans="1:9" x14ac:dyDescent="0.45">
      <c r="A75" t="s">
        <v>78</v>
      </c>
      <c r="B75" t="s">
        <v>79</v>
      </c>
      <c r="C75" t="s">
        <v>70</v>
      </c>
      <c r="D75">
        <v>30</v>
      </c>
      <c r="E75" t="s">
        <v>18</v>
      </c>
      <c r="F75" s="1">
        <v>41698</v>
      </c>
      <c r="G75">
        <v>37.24</v>
      </c>
      <c r="H75">
        <v>1117.2</v>
      </c>
      <c r="I75">
        <v>277.2</v>
      </c>
    </row>
    <row r="76" spans="1:9" x14ac:dyDescent="0.45">
      <c r="A76" t="s">
        <v>78</v>
      </c>
      <c r="B76" t="s">
        <v>79</v>
      </c>
      <c r="C76" t="s">
        <v>70</v>
      </c>
      <c r="D76">
        <v>30</v>
      </c>
      <c r="E76" t="s">
        <v>19</v>
      </c>
      <c r="F76" s="1">
        <v>41729</v>
      </c>
      <c r="G76">
        <v>38.99</v>
      </c>
      <c r="H76">
        <v>1169.7</v>
      </c>
      <c r="I76">
        <v>329.7</v>
      </c>
    </row>
    <row r="77" spans="1:9" x14ac:dyDescent="0.45">
      <c r="A77" t="s">
        <v>78</v>
      </c>
      <c r="B77" t="s">
        <v>79</v>
      </c>
      <c r="C77" t="s">
        <v>70</v>
      </c>
      <c r="D77">
        <v>30</v>
      </c>
      <c r="E77" t="s">
        <v>20</v>
      </c>
      <c r="F77" s="1">
        <v>41759</v>
      </c>
      <c r="G77">
        <v>40.130000000000003</v>
      </c>
      <c r="H77">
        <v>1203.9000000000001</v>
      </c>
      <c r="I77">
        <v>363.9</v>
      </c>
    </row>
    <row r="78" spans="1:9" x14ac:dyDescent="0.45">
      <c r="A78" t="s">
        <v>78</v>
      </c>
      <c r="B78" t="s">
        <v>79</v>
      </c>
      <c r="C78" t="s">
        <v>70</v>
      </c>
      <c r="D78">
        <v>30</v>
      </c>
      <c r="E78" t="s">
        <v>21</v>
      </c>
      <c r="F78" s="1">
        <v>41789</v>
      </c>
      <c r="G78">
        <v>39.92</v>
      </c>
      <c r="H78">
        <v>1197.5999999999999</v>
      </c>
      <c r="I78">
        <v>357.6</v>
      </c>
    </row>
    <row r="79" spans="1:9" x14ac:dyDescent="0.45">
      <c r="A79" t="s">
        <v>78</v>
      </c>
      <c r="B79" t="s">
        <v>79</v>
      </c>
      <c r="C79" t="s">
        <v>70</v>
      </c>
      <c r="D79">
        <v>30</v>
      </c>
      <c r="E79" t="s">
        <v>22</v>
      </c>
      <c r="F79" s="1">
        <v>41820</v>
      </c>
      <c r="G79">
        <v>41.36</v>
      </c>
      <c r="H79">
        <v>1240.8</v>
      </c>
      <c r="I79">
        <v>400.8</v>
      </c>
    </row>
    <row r="80" spans="1:9" x14ac:dyDescent="0.45">
      <c r="A80" t="s">
        <v>78</v>
      </c>
      <c r="B80" t="s">
        <v>79</v>
      </c>
      <c r="C80" t="s">
        <v>70</v>
      </c>
      <c r="D80">
        <v>30</v>
      </c>
      <c r="E80" t="s">
        <v>23</v>
      </c>
      <c r="F80" s="1">
        <v>41851</v>
      </c>
      <c r="G80">
        <v>43.21</v>
      </c>
      <c r="H80">
        <v>1296.3</v>
      </c>
      <c r="I80">
        <v>456.3</v>
      </c>
    </row>
    <row r="81" spans="1:9" x14ac:dyDescent="0.45">
      <c r="A81" t="s">
        <v>78</v>
      </c>
      <c r="B81" t="s">
        <v>79</v>
      </c>
      <c r="C81" t="s">
        <v>70</v>
      </c>
      <c r="D81">
        <v>30</v>
      </c>
      <c r="E81" t="s">
        <v>24</v>
      </c>
      <c r="F81" s="1">
        <v>41880</v>
      </c>
      <c r="G81">
        <v>44.26</v>
      </c>
      <c r="H81">
        <v>1327.8</v>
      </c>
      <c r="I81">
        <v>487.8</v>
      </c>
    </row>
    <row r="82" spans="1:9" x14ac:dyDescent="0.45">
      <c r="A82" t="s">
        <v>78</v>
      </c>
      <c r="B82" t="s">
        <v>79</v>
      </c>
      <c r="C82" t="s">
        <v>70</v>
      </c>
      <c r="D82">
        <v>30</v>
      </c>
      <c r="E82" t="s">
        <v>25</v>
      </c>
      <c r="F82" s="1">
        <v>41912</v>
      </c>
      <c r="G82">
        <v>46.41</v>
      </c>
      <c r="H82">
        <v>1392.3</v>
      </c>
      <c r="I82">
        <v>552.29999999999995</v>
      </c>
    </row>
    <row r="83" spans="1:9" x14ac:dyDescent="0.45">
      <c r="A83" t="s">
        <v>78</v>
      </c>
      <c r="B83" t="s">
        <v>79</v>
      </c>
      <c r="C83" t="s">
        <v>70</v>
      </c>
      <c r="D83">
        <v>30</v>
      </c>
      <c r="E83" t="s">
        <v>26</v>
      </c>
      <c r="F83" s="1">
        <v>41943</v>
      </c>
      <c r="G83">
        <v>45.2</v>
      </c>
      <c r="H83">
        <v>1356</v>
      </c>
      <c r="I83">
        <v>516</v>
      </c>
    </row>
    <row r="84" spans="1:9" x14ac:dyDescent="0.45">
      <c r="A84" t="s">
        <v>78</v>
      </c>
      <c r="B84" t="s">
        <v>79</v>
      </c>
      <c r="C84" t="s">
        <v>70</v>
      </c>
      <c r="D84">
        <v>30</v>
      </c>
      <c r="E84" t="s">
        <v>27</v>
      </c>
      <c r="F84" s="1">
        <v>41971</v>
      </c>
      <c r="G84">
        <v>48.41</v>
      </c>
      <c r="H84">
        <v>1452.3</v>
      </c>
      <c r="I84">
        <v>612.29999999999995</v>
      </c>
    </row>
    <row r="85" spans="1:9" x14ac:dyDescent="0.45">
      <c r="A85" t="s">
        <v>78</v>
      </c>
      <c r="B85" t="s">
        <v>79</v>
      </c>
      <c r="C85" t="s">
        <v>70</v>
      </c>
      <c r="D85">
        <v>30</v>
      </c>
      <c r="E85" t="s">
        <v>28</v>
      </c>
      <c r="F85" s="1">
        <v>42004</v>
      </c>
      <c r="G85">
        <v>47.49</v>
      </c>
      <c r="H85">
        <v>1424.7</v>
      </c>
      <c r="I85">
        <v>584.70000000000005</v>
      </c>
    </row>
    <row r="86" spans="1:9" x14ac:dyDescent="0.45">
      <c r="A86" t="s">
        <v>78</v>
      </c>
      <c r="B86" t="s">
        <v>79</v>
      </c>
      <c r="C86" t="s">
        <v>70</v>
      </c>
      <c r="D86">
        <v>30</v>
      </c>
      <c r="E86" t="s">
        <v>29</v>
      </c>
      <c r="F86" s="1">
        <v>42034</v>
      </c>
      <c r="G86">
        <v>45.51</v>
      </c>
      <c r="H86">
        <v>1365.3</v>
      </c>
      <c r="I86">
        <v>525.29999999999995</v>
      </c>
    </row>
    <row r="87" spans="1:9" x14ac:dyDescent="0.45">
      <c r="A87" t="s">
        <v>78</v>
      </c>
      <c r="B87" t="s">
        <v>79</v>
      </c>
      <c r="C87" t="s">
        <v>70</v>
      </c>
      <c r="D87">
        <v>30</v>
      </c>
      <c r="E87" t="s">
        <v>30</v>
      </c>
      <c r="F87" s="1">
        <v>42062</v>
      </c>
      <c r="G87">
        <v>43.08</v>
      </c>
      <c r="H87">
        <v>1292.4000000000001</v>
      </c>
      <c r="I87">
        <v>452.4</v>
      </c>
    </row>
    <row r="88" spans="1:9" x14ac:dyDescent="0.45">
      <c r="A88" t="s">
        <v>78</v>
      </c>
      <c r="B88" t="s">
        <v>79</v>
      </c>
      <c r="C88" t="s">
        <v>70</v>
      </c>
      <c r="D88">
        <v>30</v>
      </c>
      <c r="E88" t="s">
        <v>31</v>
      </c>
      <c r="F88" s="1">
        <v>42094</v>
      </c>
      <c r="G88">
        <v>42.13</v>
      </c>
      <c r="H88">
        <v>1263.9000000000001</v>
      </c>
      <c r="I88">
        <v>423.9</v>
      </c>
    </row>
    <row r="89" spans="1:9" x14ac:dyDescent="0.45">
      <c r="A89" t="s">
        <v>78</v>
      </c>
      <c r="B89" t="s">
        <v>79</v>
      </c>
      <c r="C89" t="s">
        <v>70</v>
      </c>
      <c r="D89">
        <v>30</v>
      </c>
      <c r="E89" t="s">
        <v>32</v>
      </c>
      <c r="F89" s="1">
        <v>42124</v>
      </c>
      <c r="G89">
        <v>43.46</v>
      </c>
      <c r="H89">
        <v>1303.8</v>
      </c>
      <c r="I89">
        <v>463.8</v>
      </c>
    </row>
    <row r="90" spans="1:9" x14ac:dyDescent="0.45">
      <c r="A90" t="s">
        <v>78</v>
      </c>
      <c r="B90" t="s">
        <v>79</v>
      </c>
      <c r="C90" t="s">
        <v>70</v>
      </c>
      <c r="D90">
        <v>30</v>
      </c>
      <c r="E90" t="s">
        <v>33</v>
      </c>
      <c r="F90" s="1">
        <v>42153</v>
      </c>
      <c r="G90">
        <v>47.53</v>
      </c>
      <c r="H90">
        <v>1425.9</v>
      </c>
      <c r="I90">
        <v>585.9</v>
      </c>
    </row>
    <row r="91" spans="1:9" x14ac:dyDescent="0.45">
      <c r="A91" t="s">
        <v>78</v>
      </c>
      <c r="B91" t="s">
        <v>79</v>
      </c>
      <c r="C91" t="s">
        <v>70</v>
      </c>
      <c r="D91">
        <v>30</v>
      </c>
      <c r="E91" t="s">
        <v>34</v>
      </c>
      <c r="F91" s="1">
        <v>42185</v>
      </c>
      <c r="G91">
        <v>45.96</v>
      </c>
      <c r="H91">
        <v>1378.8</v>
      </c>
      <c r="I91">
        <v>538.79999999999995</v>
      </c>
    </row>
    <row r="92" spans="1:9" x14ac:dyDescent="0.45">
      <c r="A92" t="s">
        <v>78</v>
      </c>
      <c r="B92" t="s">
        <v>79</v>
      </c>
      <c r="C92" t="s">
        <v>70</v>
      </c>
      <c r="D92">
        <v>30</v>
      </c>
      <c r="E92" t="s">
        <v>35</v>
      </c>
      <c r="F92" s="1">
        <v>42216</v>
      </c>
      <c r="G92">
        <v>45.61</v>
      </c>
      <c r="H92">
        <v>1368.3</v>
      </c>
      <c r="I92">
        <v>528.29999999999995</v>
      </c>
    </row>
    <row r="93" spans="1:9" x14ac:dyDescent="0.45">
      <c r="A93" t="s">
        <v>78</v>
      </c>
      <c r="B93" t="s">
        <v>79</v>
      </c>
      <c r="C93" t="s">
        <v>70</v>
      </c>
      <c r="D93">
        <v>30</v>
      </c>
      <c r="E93" t="s">
        <v>36</v>
      </c>
      <c r="F93" s="1">
        <v>42247</v>
      </c>
      <c r="G93">
        <v>45.51</v>
      </c>
      <c r="H93">
        <v>1365.3</v>
      </c>
      <c r="I93">
        <v>525.29999999999995</v>
      </c>
    </row>
    <row r="94" spans="1:9" x14ac:dyDescent="0.45">
      <c r="A94" t="s">
        <v>78</v>
      </c>
      <c r="B94" t="s">
        <v>79</v>
      </c>
      <c r="C94" t="s">
        <v>70</v>
      </c>
      <c r="D94">
        <v>30</v>
      </c>
      <c r="E94" t="s">
        <v>37</v>
      </c>
      <c r="F94" s="1">
        <v>42277</v>
      </c>
      <c r="G94">
        <v>43.56</v>
      </c>
      <c r="H94">
        <v>1306.8</v>
      </c>
      <c r="I94">
        <v>466.8</v>
      </c>
    </row>
    <row r="95" spans="1:9" x14ac:dyDescent="0.45">
      <c r="A95" t="s">
        <v>78</v>
      </c>
      <c r="B95" t="s">
        <v>79</v>
      </c>
      <c r="C95" t="s">
        <v>70</v>
      </c>
      <c r="D95">
        <v>30</v>
      </c>
      <c r="E95" t="s">
        <v>38</v>
      </c>
      <c r="F95" s="1">
        <v>42307</v>
      </c>
      <c r="G95">
        <v>48.7</v>
      </c>
      <c r="H95">
        <v>1461</v>
      </c>
      <c r="I95">
        <v>621</v>
      </c>
    </row>
    <row r="96" spans="1:9" x14ac:dyDescent="0.45">
      <c r="A96" t="s">
        <v>78</v>
      </c>
      <c r="B96" t="s">
        <v>79</v>
      </c>
      <c r="C96" t="s">
        <v>70</v>
      </c>
      <c r="D96">
        <v>30</v>
      </c>
      <c r="E96" t="s">
        <v>39</v>
      </c>
      <c r="F96" s="1">
        <v>42338</v>
      </c>
      <c r="G96">
        <v>53.88</v>
      </c>
      <c r="H96">
        <v>1616.4</v>
      </c>
      <c r="I96">
        <v>776.4</v>
      </c>
    </row>
    <row r="97" spans="1:9" x14ac:dyDescent="0.45">
      <c r="A97" t="s">
        <v>78</v>
      </c>
      <c r="B97" t="s">
        <v>79</v>
      </c>
      <c r="C97" t="s">
        <v>70</v>
      </c>
      <c r="D97">
        <v>30</v>
      </c>
      <c r="E97" t="s">
        <v>40</v>
      </c>
      <c r="F97" s="1">
        <v>42369</v>
      </c>
      <c r="G97">
        <v>55.4</v>
      </c>
      <c r="H97">
        <v>1662</v>
      </c>
      <c r="I97">
        <v>822</v>
      </c>
    </row>
    <row r="98" spans="1:9" x14ac:dyDescent="0.45">
      <c r="A98" t="s">
        <v>78</v>
      </c>
      <c r="B98" t="s">
        <v>79</v>
      </c>
      <c r="C98" t="s">
        <v>70</v>
      </c>
      <c r="D98">
        <v>30</v>
      </c>
      <c r="E98" t="s">
        <v>41</v>
      </c>
      <c r="F98" s="1">
        <v>42398</v>
      </c>
      <c r="G98">
        <v>52.4</v>
      </c>
      <c r="H98">
        <v>1572</v>
      </c>
      <c r="I98">
        <v>732</v>
      </c>
    </row>
    <row r="99" spans="1:9" x14ac:dyDescent="0.45">
      <c r="A99" t="s">
        <v>78</v>
      </c>
      <c r="B99" t="s">
        <v>79</v>
      </c>
      <c r="C99" t="s">
        <v>70</v>
      </c>
      <c r="D99">
        <v>30</v>
      </c>
      <c r="E99" t="s">
        <v>42</v>
      </c>
      <c r="F99" s="1">
        <v>42429</v>
      </c>
      <c r="G99">
        <v>51.38</v>
      </c>
      <c r="H99">
        <v>1541.4</v>
      </c>
      <c r="I99">
        <v>701.4</v>
      </c>
    </row>
    <row r="100" spans="1:9" x14ac:dyDescent="0.45">
      <c r="A100" t="s">
        <v>78</v>
      </c>
      <c r="B100" t="s">
        <v>79</v>
      </c>
      <c r="C100" t="s">
        <v>70</v>
      </c>
      <c r="D100">
        <v>30</v>
      </c>
      <c r="E100" t="s">
        <v>43</v>
      </c>
      <c r="F100" s="1">
        <v>42460</v>
      </c>
      <c r="G100">
        <v>53.38</v>
      </c>
      <c r="H100">
        <v>1601.4</v>
      </c>
      <c r="I100">
        <v>761.4</v>
      </c>
    </row>
    <row r="101" spans="1:9" x14ac:dyDescent="0.45">
      <c r="A101" t="s">
        <v>78</v>
      </c>
      <c r="B101" t="s">
        <v>79</v>
      </c>
      <c r="C101" t="s">
        <v>70</v>
      </c>
      <c r="D101">
        <v>30</v>
      </c>
      <c r="E101" t="s">
        <v>44</v>
      </c>
      <c r="F101" s="1">
        <v>42489</v>
      </c>
      <c r="G101">
        <v>54.05</v>
      </c>
      <c r="H101">
        <v>1621.5</v>
      </c>
      <c r="I101">
        <v>781.5</v>
      </c>
    </row>
    <row r="102" spans="1:9" x14ac:dyDescent="0.45">
      <c r="A102" t="s">
        <v>78</v>
      </c>
      <c r="B102" t="s">
        <v>79</v>
      </c>
      <c r="C102" t="s">
        <v>70</v>
      </c>
      <c r="D102">
        <v>30</v>
      </c>
      <c r="E102" t="s">
        <v>45</v>
      </c>
      <c r="F102" s="1">
        <v>42521</v>
      </c>
      <c r="G102">
        <v>50.97</v>
      </c>
      <c r="H102">
        <v>1529.1</v>
      </c>
      <c r="I102">
        <v>689.1</v>
      </c>
    </row>
    <row r="103" spans="1:9" x14ac:dyDescent="0.45">
      <c r="A103" t="s">
        <v>78</v>
      </c>
      <c r="B103" t="s">
        <v>79</v>
      </c>
      <c r="C103" t="s">
        <v>70</v>
      </c>
      <c r="D103">
        <v>30</v>
      </c>
      <c r="E103" t="s">
        <v>46</v>
      </c>
      <c r="F103" s="1">
        <v>42551</v>
      </c>
      <c r="G103">
        <v>50.92</v>
      </c>
      <c r="H103">
        <v>1527.6</v>
      </c>
      <c r="I103">
        <v>687.6</v>
      </c>
    </row>
    <row r="104" spans="1:9" x14ac:dyDescent="0.45">
      <c r="A104" t="s">
        <v>78</v>
      </c>
      <c r="B104" t="s">
        <v>79</v>
      </c>
      <c r="C104" t="s">
        <v>70</v>
      </c>
      <c r="D104">
        <v>30</v>
      </c>
      <c r="E104" t="s">
        <v>47</v>
      </c>
      <c r="F104" s="1">
        <v>42580</v>
      </c>
      <c r="G104">
        <v>54.1</v>
      </c>
      <c r="H104">
        <v>1623</v>
      </c>
      <c r="I104">
        <v>783</v>
      </c>
    </row>
    <row r="105" spans="1:9" x14ac:dyDescent="0.45">
      <c r="A105" t="s">
        <v>78</v>
      </c>
      <c r="B105" t="s">
        <v>79</v>
      </c>
      <c r="C105" t="s">
        <v>70</v>
      </c>
      <c r="D105">
        <v>30</v>
      </c>
      <c r="E105" t="s">
        <v>48</v>
      </c>
      <c r="F105" s="1">
        <v>42613</v>
      </c>
      <c r="G105">
        <v>57.72</v>
      </c>
      <c r="H105">
        <v>1731.6</v>
      </c>
      <c r="I105">
        <v>891.6</v>
      </c>
    </row>
    <row r="106" spans="1:9" x14ac:dyDescent="0.45">
      <c r="A106" t="s">
        <v>78</v>
      </c>
      <c r="B106" t="s">
        <v>79</v>
      </c>
      <c r="C106" t="s">
        <v>70</v>
      </c>
      <c r="D106">
        <v>30</v>
      </c>
      <c r="E106" t="s">
        <v>49</v>
      </c>
      <c r="F106" s="1">
        <v>42643</v>
      </c>
      <c r="G106">
        <v>57.29</v>
      </c>
      <c r="H106">
        <v>1718.7</v>
      </c>
      <c r="I106">
        <v>878.7</v>
      </c>
    </row>
    <row r="107" spans="1:9" x14ac:dyDescent="0.45">
      <c r="A107" t="s">
        <v>78</v>
      </c>
      <c r="B107" t="s">
        <v>79</v>
      </c>
      <c r="C107" t="s">
        <v>70</v>
      </c>
      <c r="D107">
        <v>30</v>
      </c>
      <c r="E107" t="s">
        <v>50</v>
      </c>
      <c r="F107" s="1">
        <v>42674</v>
      </c>
      <c r="G107">
        <v>58.4</v>
      </c>
      <c r="H107">
        <v>1752</v>
      </c>
      <c r="I107">
        <v>912</v>
      </c>
    </row>
    <row r="108" spans="1:9" x14ac:dyDescent="0.45">
      <c r="A108" t="s">
        <v>78</v>
      </c>
      <c r="B108" t="s">
        <v>79</v>
      </c>
      <c r="C108" t="s">
        <v>70</v>
      </c>
      <c r="D108">
        <v>30</v>
      </c>
      <c r="E108" t="s">
        <v>51</v>
      </c>
      <c r="F108" s="1">
        <v>42704</v>
      </c>
      <c r="G108">
        <v>59.93</v>
      </c>
      <c r="H108">
        <v>1797.9</v>
      </c>
      <c r="I108">
        <v>957.9</v>
      </c>
    </row>
    <row r="109" spans="1:9" x14ac:dyDescent="0.45">
      <c r="A109" t="s">
        <v>78</v>
      </c>
      <c r="B109" t="s">
        <v>79</v>
      </c>
      <c r="C109" t="s">
        <v>70</v>
      </c>
      <c r="D109">
        <v>30</v>
      </c>
      <c r="E109" t="s">
        <v>52</v>
      </c>
      <c r="F109" s="1">
        <v>42734</v>
      </c>
      <c r="G109">
        <v>62.12</v>
      </c>
      <c r="H109">
        <v>1863.6</v>
      </c>
      <c r="I109">
        <v>1023.6</v>
      </c>
    </row>
    <row r="110" spans="1:9" x14ac:dyDescent="0.45">
      <c r="A110" t="s">
        <v>78</v>
      </c>
      <c r="B110" t="s">
        <v>79</v>
      </c>
      <c r="C110" t="s">
        <v>70</v>
      </c>
      <c r="D110">
        <v>30</v>
      </c>
      <c r="E110" t="s">
        <v>53</v>
      </c>
      <c r="F110" s="1">
        <v>42766</v>
      </c>
      <c r="G110">
        <v>63.19</v>
      </c>
      <c r="H110">
        <v>1895.7</v>
      </c>
      <c r="I110">
        <v>1055.7</v>
      </c>
    </row>
    <row r="111" spans="1:9" x14ac:dyDescent="0.45">
      <c r="A111" t="s">
        <v>78</v>
      </c>
      <c r="B111" t="s">
        <v>79</v>
      </c>
      <c r="C111" t="s">
        <v>70</v>
      </c>
      <c r="D111">
        <v>30</v>
      </c>
      <c r="E111" t="s">
        <v>54</v>
      </c>
      <c r="F111" s="1">
        <v>42794</v>
      </c>
      <c r="G111">
        <v>64.11</v>
      </c>
      <c r="H111">
        <v>1923.3</v>
      </c>
      <c r="I111">
        <v>1083.3</v>
      </c>
    </row>
    <row r="112" spans="1:9" x14ac:dyDescent="0.45">
      <c r="A112" t="s">
        <v>78</v>
      </c>
      <c r="B112" t="s">
        <v>79</v>
      </c>
      <c r="C112" t="s">
        <v>70</v>
      </c>
      <c r="D112">
        <v>30</v>
      </c>
      <c r="E112" t="s">
        <v>55</v>
      </c>
      <c r="F112" s="1">
        <v>42825</v>
      </c>
      <c r="G112">
        <v>64.84</v>
      </c>
      <c r="H112">
        <v>1945.2</v>
      </c>
      <c r="I112">
        <v>1105.2</v>
      </c>
    </row>
    <row r="113" spans="1:9" x14ac:dyDescent="0.45">
      <c r="A113" t="s">
        <v>78</v>
      </c>
      <c r="B113" t="s">
        <v>79</v>
      </c>
      <c r="C113" t="s">
        <v>70</v>
      </c>
      <c r="D113">
        <v>30</v>
      </c>
      <c r="E113" t="s">
        <v>56</v>
      </c>
      <c r="F113" s="1">
        <v>42853</v>
      </c>
      <c r="G113">
        <v>66.17</v>
      </c>
      <c r="H113">
        <v>1985.1</v>
      </c>
      <c r="I113">
        <v>1145.0999999999999</v>
      </c>
    </row>
    <row r="114" spans="1:9" x14ac:dyDescent="0.45">
      <c r="A114" t="s">
        <v>78</v>
      </c>
      <c r="B114" t="s">
        <v>79</v>
      </c>
      <c r="C114" t="s">
        <v>70</v>
      </c>
      <c r="D114">
        <v>30</v>
      </c>
      <c r="E114" t="s">
        <v>57</v>
      </c>
      <c r="F114" s="1">
        <v>42886</v>
      </c>
      <c r="G114">
        <v>68.92</v>
      </c>
      <c r="H114">
        <v>2067.6</v>
      </c>
      <c r="I114">
        <v>1227.5999999999999</v>
      </c>
    </row>
    <row r="115" spans="1:9" x14ac:dyDescent="0.45">
      <c r="A115" t="s">
        <v>78</v>
      </c>
      <c r="B115" t="s">
        <v>79</v>
      </c>
      <c r="C115" t="s">
        <v>70</v>
      </c>
      <c r="D115">
        <v>30</v>
      </c>
      <c r="E115" t="s">
        <v>58</v>
      </c>
      <c r="F115" s="1">
        <v>42916</v>
      </c>
      <c r="G115">
        <v>70.52</v>
      </c>
      <c r="H115">
        <v>2115.6</v>
      </c>
      <c r="I115">
        <v>1275.5999999999999</v>
      </c>
    </row>
    <row r="116" spans="1:9" x14ac:dyDescent="0.45">
      <c r="A116" t="s">
        <v>78</v>
      </c>
      <c r="B116" t="s">
        <v>79</v>
      </c>
      <c r="C116" t="s">
        <v>70</v>
      </c>
      <c r="D116">
        <v>30</v>
      </c>
      <c r="E116" t="s">
        <v>59</v>
      </c>
      <c r="F116" s="1">
        <v>42947</v>
      </c>
      <c r="G116">
        <v>72.010000000000005</v>
      </c>
      <c r="H116">
        <v>2160.3000000000002</v>
      </c>
      <c r="I116">
        <v>1320.3</v>
      </c>
    </row>
    <row r="117" spans="1:9" x14ac:dyDescent="0.45">
      <c r="A117" t="s">
        <v>78</v>
      </c>
      <c r="B117" t="s">
        <v>79</v>
      </c>
      <c r="C117" t="s">
        <v>70</v>
      </c>
      <c r="D117">
        <v>30</v>
      </c>
      <c r="E117" t="s">
        <v>60</v>
      </c>
      <c r="F117" s="1">
        <v>42978</v>
      </c>
      <c r="G117">
        <v>72.819999999999993</v>
      </c>
      <c r="H117">
        <v>2184.6</v>
      </c>
      <c r="I117">
        <v>1344.6</v>
      </c>
    </row>
    <row r="118" spans="1:9" x14ac:dyDescent="0.45">
      <c r="A118" t="s">
        <v>78</v>
      </c>
      <c r="B118" t="s">
        <v>79</v>
      </c>
      <c r="C118" t="s">
        <v>70</v>
      </c>
      <c r="D118">
        <v>30</v>
      </c>
      <c r="E118" t="s">
        <v>61</v>
      </c>
      <c r="F118" s="1">
        <v>43007</v>
      </c>
      <c r="G118">
        <v>74.34</v>
      </c>
      <c r="H118">
        <v>2230.1999999999998</v>
      </c>
      <c r="I118">
        <v>1390.2</v>
      </c>
    </row>
    <row r="119" spans="1:9" x14ac:dyDescent="0.45">
      <c r="A119" t="s">
        <v>78</v>
      </c>
      <c r="B119" t="s">
        <v>79</v>
      </c>
      <c r="C119" t="s">
        <v>70</v>
      </c>
      <c r="D119">
        <v>30</v>
      </c>
      <c r="E119" t="s">
        <v>62</v>
      </c>
      <c r="F119" s="1">
        <v>43039</v>
      </c>
      <c r="G119">
        <v>77.94</v>
      </c>
      <c r="H119">
        <v>2338.1999999999998</v>
      </c>
      <c r="I119">
        <v>1498.2</v>
      </c>
    </row>
    <row r="120" spans="1:9" x14ac:dyDescent="0.45">
      <c r="A120" t="s">
        <v>78</v>
      </c>
      <c r="B120" t="s">
        <v>79</v>
      </c>
      <c r="C120" t="s">
        <v>70</v>
      </c>
      <c r="D120">
        <v>30</v>
      </c>
      <c r="E120" t="s">
        <v>63</v>
      </c>
      <c r="F120" s="1">
        <v>43069</v>
      </c>
      <c r="G120">
        <v>83.72</v>
      </c>
      <c r="H120">
        <v>2511.6</v>
      </c>
      <c r="I120">
        <v>1671.6</v>
      </c>
    </row>
    <row r="121" spans="1:9" x14ac:dyDescent="0.45">
      <c r="A121" t="s">
        <v>78</v>
      </c>
      <c r="B121" t="s">
        <v>79</v>
      </c>
      <c r="C121" t="s">
        <v>70</v>
      </c>
      <c r="D121">
        <v>30</v>
      </c>
      <c r="E121" t="s">
        <v>64</v>
      </c>
      <c r="F121" s="1">
        <v>43098</v>
      </c>
      <c r="G121">
        <v>84.76</v>
      </c>
      <c r="H121">
        <v>2542.8000000000002</v>
      </c>
      <c r="I121">
        <v>1702.8</v>
      </c>
    </row>
    <row r="122" spans="1:9" x14ac:dyDescent="0.45">
      <c r="A122" t="s">
        <v>78</v>
      </c>
      <c r="B122" t="s">
        <v>79</v>
      </c>
      <c r="C122" t="s">
        <v>70</v>
      </c>
      <c r="D122">
        <v>30</v>
      </c>
      <c r="E122" t="s">
        <v>65</v>
      </c>
      <c r="F122" s="1">
        <v>43131</v>
      </c>
      <c r="G122">
        <v>90.08</v>
      </c>
      <c r="H122">
        <v>2702.4</v>
      </c>
      <c r="I122">
        <v>1862.4</v>
      </c>
    </row>
    <row r="123" spans="1:9" x14ac:dyDescent="0.45">
      <c r="A123" t="s">
        <v>78</v>
      </c>
      <c r="B123" t="s">
        <v>79</v>
      </c>
      <c r="C123" t="s">
        <v>70</v>
      </c>
      <c r="D123">
        <v>30</v>
      </c>
      <c r="E123" t="s">
        <v>66</v>
      </c>
      <c r="F123" s="1">
        <v>43138</v>
      </c>
      <c r="G123">
        <v>91</v>
      </c>
      <c r="H123">
        <v>2730</v>
      </c>
      <c r="I123">
        <v>1890</v>
      </c>
    </row>
    <row r="124" spans="1:9" x14ac:dyDescent="0.45">
      <c r="A124" t="s">
        <v>78</v>
      </c>
      <c r="B124" t="s">
        <v>79</v>
      </c>
      <c r="C124" t="s">
        <v>69</v>
      </c>
      <c r="D124">
        <v>100</v>
      </c>
      <c r="E124" t="s">
        <v>6</v>
      </c>
      <c r="F124" s="1">
        <v>41333</v>
      </c>
      <c r="G124">
        <v>200.1</v>
      </c>
      <c r="H124">
        <v>20010</v>
      </c>
      <c r="I124">
        <v>1010</v>
      </c>
    </row>
    <row r="125" spans="1:9" x14ac:dyDescent="0.45">
      <c r="A125" t="s">
        <v>78</v>
      </c>
      <c r="B125" t="s">
        <v>79</v>
      </c>
      <c r="C125" t="s">
        <v>69</v>
      </c>
      <c r="D125">
        <v>100</v>
      </c>
      <c r="E125" t="s">
        <v>7</v>
      </c>
      <c r="F125" s="1">
        <v>41361</v>
      </c>
      <c r="G125">
        <v>210.98</v>
      </c>
      <c r="H125">
        <v>21098</v>
      </c>
      <c r="I125">
        <v>2098</v>
      </c>
    </row>
    <row r="126" spans="1:9" x14ac:dyDescent="0.45">
      <c r="A126" t="s">
        <v>78</v>
      </c>
      <c r="B126" t="s">
        <v>79</v>
      </c>
      <c r="C126" t="s">
        <v>69</v>
      </c>
      <c r="D126">
        <v>100</v>
      </c>
      <c r="E126" t="s">
        <v>8</v>
      </c>
      <c r="F126" s="1">
        <v>41394</v>
      </c>
      <c r="G126">
        <v>204.73</v>
      </c>
      <c r="H126">
        <v>20473</v>
      </c>
      <c r="I126">
        <v>1473</v>
      </c>
    </row>
    <row r="127" spans="1:9" x14ac:dyDescent="0.45">
      <c r="A127" t="s">
        <v>78</v>
      </c>
      <c r="B127" t="s">
        <v>79</v>
      </c>
      <c r="C127" t="s">
        <v>69</v>
      </c>
      <c r="D127">
        <v>100</v>
      </c>
      <c r="E127" t="s">
        <v>9</v>
      </c>
      <c r="F127" s="1">
        <v>41425</v>
      </c>
      <c r="G127">
        <v>205.26</v>
      </c>
      <c r="H127">
        <v>20526</v>
      </c>
      <c r="I127">
        <v>1526</v>
      </c>
    </row>
    <row r="128" spans="1:9" x14ac:dyDescent="0.45">
      <c r="A128" t="s">
        <v>78</v>
      </c>
      <c r="B128" t="s">
        <v>79</v>
      </c>
      <c r="C128" t="s">
        <v>69</v>
      </c>
      <c r="D128">
        <v>100</v>
      </c>
      <c r="E128" t="s">
        <v>10</v>
      </c>
      <c r="F128" s="1">
        <v>41453</v>
      </c>
      <c r="G128">
        <v>200.85</v>
      </c>
      <c r="H128">
        <v>20085</v>
      </c>
      <c r="I128">
        <v>1085</v>
      </c>
    </row>
    <row r="129" spans="1:9" x14ac:dyDescent="0.45">
      <c r="A129" t="s">
        <v>78</v>
      </c>
      <c r="B129" t="s">
        <v>79</v>
      </c>
      <c r="C129" t="s">
        <v>69</v>
      </c>
      <c r="D129">
        <v>100</v>
      </c>
      <c r="E129" t="s">
        <v>11</v>
      </c>
      <c r="F129" s="1">
        <v>41486</v>
      </c>
      <c r="G129">
        <v>194.35</v>
      </c>
      <c r="H129">
        <v>19435</v>
      </c>
      <c r="I129">
        <v>435</v>
      </c>
    </row>
    <row r="130" spans="1:9" x14ac:dyDescent="0.45">
      <c r="A130" t="s">
        <v>78</v>
      </c>
      <c r="B130" t="s">
        <v>79</v>
      </c>
      <c r="C130" t="s">
        <v>69</v>
      </c>
      <c r="D130">
        <v>100</v>
      </c>
      <c r="E130" t="s">
        <v>12</v>
      </c>
      <c r="F130" s="1">
        <v>41516</v>
      </c>
      <c r="G130">
        <v>187.13</v>
      </c>
      <c r="H130">
        <v>18713</v>
      </c>
      <c r="I130">
        <v>-287</v>
      </c>
    </row>
    <row r="131" spans="1:9" x14ac:dyDescent="0.45">
      <c r="A131" t="s">
        <v>78</v>
      </c>
      <c r="B131" t="s">
        <v>79</v>
      </c>
      <c r="C131" t="s">
        <v>69</v>
      </c>
      <c r="D131">
        <v>100</v>
      </c>
      <c r="E131" t="s">
        <v>13</v>
      </c>
      <c r="F131" s="1">
        <v>41547</v>
      </c>
      <c r="G131">
        <v>188.77</v>
      </c>
      <c r="H131">
        <v>18877</v>
      </c>
      <c r="I131">
        <v>-123</v>
      </c>
    </row>
    <row r="132" spans="1:9" x14ac:dyDescent="0.45">
      <c r="A132" t="s">
        <v>78</v>
      </c>
      <c r="B132" t="s">
        <v>79</v>
      </c>
      <c r="C132" t="s">
        <v>69</v>
      </c>
      <c r="D132">
        <v>100</v>
      </c>
      <c r="E132" t="s">
        <v>14</v>
      </c>
      <c r="F132" s="1">
        <v>41578</v>
      </c>
      <c r="G132">
        <v>180.71</v>
      </c>
      <c r="H132">
        <v>18071</v>
      </c>
      <c r="I132">
        <v>-929</v>
      </c>
    </row>
    <row r="133" spans="1:9" x14ac:dyDescent="0.45">
      <c r="A133" t="s">
        <v>78</v>
      </c>
      <c r="B133" t="s">
        <v>79</v>
      </c>
      <c r="C133" t="s">
        <v>69</v>
      </c>
      <c r="D133">
        <v>100</v>
      </c>
      <c r="E133" t="s">
        <v>15</v>
      </c>
      <c r="F133" s="1">
        <v>41607</v>
      </c>
      <c r="G133">
        <v>181.33</v>
      </c>
      <c r="H133">
        <v>18133</v>
      </c>
      <c r="I133">
        <v>-867</v>
      </c>
    </row>
    <row r="134" spans="1:9" x14ac:dyDescent="0.45">
      <c r="A134" t="s">
        <v>78</v>
      </c>
      <c r="B134" t="s">
        <v>79</v>
      </c>
      <c r="C134" t="s">
        <v>69</v>
      </c>
      <c r="D134">
        <v>100</v>
      </c>
      <c r="E134" t="s">
        <v>16</v>
      </c>
      <c r="F134" s="1">
        <v>41639</v>
      </c>
      <c r="G134">
        <v>179.11</v>
      </c>
      <c r="H134">
        <v>17911</v>
      </c>
      <c r="I134">
        <v>-1089</v>
      </c>
    </row>
    <row r="135" spans="1:9" x14ac:dyDescent="0.45">
      <c r="A135" t="s">
        <v>78</v>
      </c>
      <c r="B135" t="s">
        <v>79</v>
      </c>
      <c r="C135" t="s">
        <v>69</v>
      </c>
      <c r="D135">
        <v>100</v>
      </c>
      <c r="E135" t="s">
        <v>17</v>
      </c>
      <c r="F135" s="1">
        <v>41670</v>
      </c>
      <c r="G135">
        <v>184.07</v>
      </c>
      <c r="H135">
        <v>18407</v>
      </c>
      <c r="I135">
        <v>-593</v>
      </c>
    </row>
    <row r="136" spans="1:9" x14ac:dyDescent="0.45">
      <c r="A136" t="s">
        <v>78</v>
      </c>
      <c r="B136" t="s">
        <v>79</v>
      </c>
      <c r="C136" t="s">
        <v>69</v>
      </c>
      <c r="D136">
        <v>100</v>
      </c>
      <c r="E136" t="s">
        <v>18</v>
      </c>
      <c r="F136" s="1">
        <v>41698</v>
      </c>
      <c r="G136">
        <v>180.47</v>
      </c>
      <c r="H136">
        <v>18047</v>
      </c>
      <c r="I136">
        <v>-953</v>
      </c>
    </row>
    <row r="137" spans="1:9" x14ac:dyDescent="0.45">
      <c r="A137" t="s">
        <v>78</v>
      </c>
      <c r="B137" t="s">
        <v>79</v>
      </c>
      <c r="C137" t="s">
        <v>69</v>
      </c>
      <c r="D137">
        <v>100</v>
      </c>
      <c r="E137" t="s">
        <v>19</v>
      </c>
      <c r="F137" s="1">
        <v>41729</v>
      </c>
      <c r="G137">
        <v>187.58</v>
      </c>
      <c r="H137">
        <v>18758</v>
      </c>
      <c r="I137">
        <v>-242</v>
      </c>
    </row>
    <row r="138" spans="1:9" x14ac:dyDescent="0.45">
      <c r="A138" t="s">
        <v>78</v>
      </c>
      <c r="B138" t="s">
        <v>79</v>
      </c>
      <c r="C138" t="s">
        <v>69</v>
      </c>
      <c r="D138">
        <v>100</v>
      </c>
      <c r="E138" t="s">
        <v>20</v>
      </c>
      <c r="F138" s="1">
        <v>41759</v>
      </c>
      <c r="G138">
        <v>193.8</v>
      </c>
      <c r="H138">
        <v>19380</v>
      </c>
      <c r="I138">
        <v>380</v>
      </c>
    </row>
    <row r="139" spans="1:9" x14ac:dyDescent="0.45">
      <c r="A139" t="s">
        <v>78</v>
      </c>
      <c r="B139" t="s">
        <v>79</v>
      </c>
      <c r="C139" t="s">
        <v>69</v>
      </c>
      <c r="D139">
        <v>100</v>
      </c>
      <c r="E139" t="s">
        <v>21</v>
      </c>
      <c r="F139" s="1">
        <v>41789</v>
      </c>
      <c r="G139">
        <v>187.97</v>
      </c>
      <c r="H139">
        <v>18797</v>
      </c>
      <c r="I139">
        <v>-203</v>
      </c>
    </row>
    <row r="140" spans="1:9" x14ac:dyDescent="0.45">
      <c r="A140" t="s">
        <v>78</v>
      </c>
      <c r="B140" t="s">
        <v>79</v>
      </c>
      <c r="C140" t="s">
        <v>69</v>
      </c>
      <c r="D140">
        <v>100</v>
      </c>
      <c r="E140" t="s">
        <v>22</v>
      </c>
      <c r="F140" s="1">
        <v>41820</v>
      </c>
      <c r="G140">
        <v>183.01</v>
      </c>
      <c r="H140">
        <v>18301</v>
      </c>
      <c r="I140">
        <v>-699</v>
      </c>
    </row>
    <row r="141" spans="1:9" x14ac:dyDescent="0.45">
      <c r="A141" t="s">
        <v>78</v>
      </c>
      <c r="B141" t="s">
        <v>79</v>
      </c>
      <c r="C141" t="s">
        <v>69</v>
      </c>
      <c r="D141">
        <v>100</v>
      </c>
      <c r="E141" t="s">
        <v>23</v>
      </c>
      <c r="F141" s="1">
        <v>41851</v>
      </c>
      <c r="G141">
        <v>191.03</v>
      </c>
      <c r="H141">
        <v>19103</v>
      </c>
      <c r="I141">
        <v>103</v>
      </c>
    </row>
    <row r="142" spans="1:9" x14ac:dyDescent="0.45">
      <c r="A142" t="s">
        <v>78</v>
      </c>
      <c r="B142" t="s">
        <v>79</v>
      </c>
      <c r="C142" t="s">
        <v>69</v>
      </c>
      <c r="D142">
        <v>100</v>
      </c>
      <c r="E142" t="s">
        <v>24</v>
      </c>
      <c r="F142" s="1">
        <v>41880</v>
      </c>
      <c r="G142">
        <v>189.18</v>
      </c>
      <c r="H142">
        <v>18918</v>
      </c>
      <c r="I142">
        <v>-82</v>
      </c>
    </row>
    <row r="143" spans="1:9" x14ac:dyDescent="0.45">
      <c r="A143" t="s">
        <v>78</v>
      </c>
      <c r="B143" t="s">
        <v>79</v>
      </c>
      <c r="C143" t="s">
        <v>69</v>
      </c>
      <c r="D143">
        <v>100</v>
      </c>
      <c r="E143" t="s">
        <v>25</v>
      </c>
      <c r="F143" s="1">
        <v>41912</v>
      </c>
      <c r="G143">
        <v>191.35</v>
      </c>
      <c r="H143">
        <v>19135</v>
      </c>
      <c r="I143">
        <v>135</v>
      </c>
    </row>
    <row r="144" spans="1:9" x14ac:dyDescent="0.45">
      <c r="A144" t="s">
        <v>78</v>
      </c>
      <c r="B144" t="s">
        <v>79</v>
      </c>
      <c r="C144" t="s">
        <v>69</v>
      </c>
      <c r="D144">
        <v>100</v>
      </c>
      <c r="E144" t="s">
        <v>26</v>
      </c>
      <c r="F144" s="1">
        <v>41943</v>
      </c>
      <c r="G144">
        <v>175.92</v>
      </c>
      <c r="H144">
        <v>17592</v>
      </c>
      <c r="I144">
        <v>-1408</v>
      </c>
    </row>
    <row r="145" spans="1:9" x14ac:dyDescent="0.45">
      <c r="A145" t="s">
        <v>78</v>
      </c>
      <c r="B145" t="s">
        <v>79</v>
      </c>
      <c r="C145" t="s">
        <v>69</v>
      </c>
      <c r="D145">
        <v>100</v>
      </c>
      <c r="E145" t="s">
        <v>27</v>
      </c>
      <c r="F145" s="1">
        <v>41971</v>
      </c>
      <c r="G145">
        <v>162.37</v>
      </c>
      <c r="H145">
        <v>16237</v>
      </c>
      <c r="I145">
        <v>-2763</v>
      </c>
    </row>
    <row r="146" spans="1:9" x14ac:dyDescent="0.45">
      <c r="A146" t="s">
        <v>78</v>
      </c>
      <c r="B146" t="s">
        <v>79</v>
      </c>
      <c r="C146" t="s">
        <v>69</v>
      </c>
      <c r="D146">
        <v>100</v>
      </c>
      <c r="E146" t="s">
        <v>28</v>
      </c>
      <c r="F146" s="1">
        <v>42004</v>
      </c>
      <c r="G146">
        <v>159.97</v>
      </c>
      <c r="H146">
        <v>15997</v>
      </c>
      <c r="I146">
        <v>-3003</v>
      </c>
    </row>
    <row r="147" spans="1:9" x14ac:dyDescent="0.45">
      <c r="A147" t="s">
        <v>78</v>
      </c>
      <c r="B147" t="s">
        <v>79</v>
      </c>
      <c r="C147" t="s">
        <v>69</v>
      </c>
      <c r="D147">
        <v>100</v>
      </c>
      <c r="E147" t="s">
        <v>29</v>
      </c>
      <c r="F147" s="1">
        <v>42034</v>
      </c>
      <c r="G147">
        <v>156.08000000000001</v>
      </c>
      <c r="H147">
        <v>15608</v>
      </c>
      <c r="I147">
        <v>-3392</v>
      </c>
    </row>
    <row r="148" spans="1:9" x14ac:dyDescent="0.45">
      <c r="A148" t="s">
        <v>78</v>
      </c>
      <c r="B148" t="s">
        <v>79</v>
      </c>
      <c r="C148" t="s">
        <v>69</v>
      </c>
      <c r="D148">
        <v>100</v>
      </c>
      <c r="E148" t="s">
        <v>30</v>
      </c>
      <c r="F148" s="1">
        <v>42062</v>
      </c>
      <c r="G148">
        <v>160.01</v>
      </c>
      <c r="H148">
        <v>16001</v>
      </c>
      <c r="I148">
        <v>-2999</v>
      </c>
    </row>
    <row r="149" spans="1:9" x14ac:dyDescent="0.45">
      <c r="A149" t="s">
        <v>78</v>
      </c>
      <c r="B149" t="s">
        <v>79</v>
      </c>
      <c r="C149" t="s">
        <v>69</v>
      </c>
      <c r="D149">
        <v>100</v>
      </c>
      <c r="E149" t="s">
        <v>31</v>
      </c>
      <c r="F149" s="1">
        <v>42094</v>
      </c>
      <c r="G149">
        <v>159.81</v>
      </c>
      <c r="H149">
        <v>15981</v>
      </c>
      <c r="I149">
        <v>-3019</v>
      </c>
    </row>
    <row r="150" spans="1:9" x14ac:dyDescent="0.45">
      <c r="A150" t="s">
        <v>78</v>
      </c>
      <c r="B150" t="s">
        <v>79</v>
      </c>
      <c r="C150" t="s">
        <v>69</v>
      </c>
      <c r="D150">
        <v>100</v>
      </c>
      <c r="E150" t="s">
        <v>32</v>
      </c>
      <c r="F150" s="1">
        <v>42124</v>
      </c>
      <c r="G150">
        <v>165.22</v>
      </c>
      <c r="H150">
        <v>16522</v>
      </c>
      <c r="I150">
        <v>-2478</v>
      </c>
    </row>
    <row r="151" spans="1:9" x14ac:dyDescent="0.45">
      <c r="A151" t="s">
        <v>78</v>
      </c>
      <c r="B151" t="s">
        <v>79</v>
      </c>
      <c r="C151" t="s">
        <v>69</v>
      </c>
      <c r="D151">
        <v>100</v>
      </c>
      <c r="E151" t="s">
        <v>33</v>
      </c>
      <c r="F151" s="1">
        <v>42153</v>
      </c>
      <c r="G151">
        <v>172.25</v>
      </c>
      <c r="H151">
        <v>17225</v>
      </c>
      <c r="I151">
        <v>-1775</v>
      </c>
    </row>
    <row r="152" spans="1:9" x14ac:dyDescent="0.45">
      <c r="A152" t="s">
        <v>78</v>
      </c>
      <c r="B152" t="s">
        <v>79</v>
      </c>
      <c r="C152" t="s">
        <v>69</v>
      </c>
      <c r="D152">
        <v>100</v>
      </c>
      <c r="E152" t="s">
        <v>34</v>
      </c>
      <c r="F152" s="1">
        <v>42185</v>
      </c>
      <c r="G152">
        <v>167.15</v>
      </c>
      <c r="H152">
        <v>16715</v>
      </c>
      <c r="I152">
        <v>-2285</v>
      </c>
    </row>
    <row r="153" spans="1:9" x14ac:dyDescent="0.45">
      <c r="A153" t="s">
        <v>78</v>
      </c>
      <c r="B153" t="s">
        <v>79</v>
      </c>
      <c r="C153" t="s">
        <v>69</v>
      </c>
      <c r="D153">
        <v>100</v>
      </c>
      <c r="E153" t="s">
        <v>35</v>
      </c>
      <c r="F153" s="1">
        <v>42216</v>
      </c>
      <c r="G153">
        <v>164.75</v>
      </c>
      <c r="H153">
        <v>16475</v>
      </c>
      <c r="I153">
        <v>-2525</v>
      </c>
    </row>
    <row r="154" spans="1:9" x14ac:dyDescent="0.45">
      <c r="A154" t="s">
        <v>78</v>
      </c>
      <c r="B154" t="s">
        <v>79</v>
      </c>
      <c r="C154" t="s">
        <v>69</v>
      </c>
      <c r="D154">
        <v>100</v>
      </c>
      <c r="E154" t="s">
        <v>36</v>
      </c>
      <c r="F154" s="1">
        <v>42247</v>
      </c>
      <c r="G154">
        <v>152.77000000000001</v>
      </c>
      <c r="H154">
        <v>15277</v>
      </c>
      <c r="I154">
        <v>-3723</v>
      </c>
    </row>
    <row r="155" spans="1:9" x14ac:dyDescent="0.45">
      <c r="A155" t="s">
        <v>78</v>
      </c>
      <c r="B155" t="s">
        <v>79</v>
      </c>
      <c r="C155" t="s">
        <v>69</v>
      </c>
      <c r="D155">
        <v>100</v>
      </c>
      <c r="E155" t="s">
        <v>37</v>
      </c>
      <c r="F155" s="1">
        <v>42277</v>
      </c>
      <c r="G155">
        <v>145.36000000000001</v>
      </c>
      <c r="H155">
        <v>14536</v>
      </c>
      <c r="I155">
        <v>-4464</v>
      </c>
    </row>
    <row r="156" spans="1:9" x14ac:dyDescent="0.45">
      <c r="A156" t="s">
        <v>78</v>
      </c>
      <c r="B156" t="s">
        <v>79</v>
      </c>
      <c r="C156" t="s">
        <v>69</v>
      </c>
      <c r="D156">
        <v>100</v>
      </c>
      <c r="E156" t="s">
        <v>38</v>
      </c>
      <c r="F156" s="1">
        <v>42307</v>
      </c>
      <c r="G156">
        <v>146.12</v>
      </c>
      <c r="H156">
        <v>14612</v>
      </c>
      <c r="I156">
        <v>-4388</v>
      </c>
    </row>
    <row r="157" spans="1:9" x14ac:dyDescent="0.45">
      <c r="A157" t="s">
        <v>78</v>
      </c>
      <c r="B157" t="s">
        <v>79</v>
      </c>
      <c r="C157" t="s">
        <v>69</v>
      </c>
      <c r="D157">
        <v>100</v>
      </c>
      <c r="E157" t="s">
        <v>39</v>
      </c>
      <c r="F157" s="1">
        <v>42338</v>
      </c>
      <c r="G157">
        <v>137.21</v>
      </c>
      <c r="H157">
        <v>13721</v>
      </c>
      <c r="I157">
        <v>-5279</v>
      </c>
    </row>
    <row r="158" spans="1:9" x14ac:dyDescent="0.45">
      <c r="A158" t="s">
        <v>78</v>
      </c>
      <c r="B158" t="s">
        <v>79</v>
      </c>
      <c r="C158" t="s">
        <v>69</v>
      </c>
      <c r="D158">
        <v>100</v>
      </c>
      <c r="E158" t="s">
        <v>40</v>
      </c>
      <c r="F158" s="1">
        <v>42369</v>
      </c>
      <c r="G158">
        <v>137.96</v>
      </c>
      <c r="H158">
        <v>13796</v>
      </c>
      <c r="I158">
        <v>-5204</v>
      </c>
    </row>
    <row r="159" spans="1:9" x14ac:dyDescent="0.45">
      <c r="A159" t="s">
        <v>78</v>
      </c>
      <c r="B159" t="s">
        <v>79</v>
      </c>
      <c r="C159" t="s">
        <v>69</v>
      </c>
      <c r="D159">
        <v>100</v>
      </c>
      <c r="E159" t="s">
        <v>41</v>
      </c>
      <c r="F159" s="1">
        <v>42398</v>
      </c>
      <c r="G159">
        <v>128.41</v>
      </c>
      <c r="H159">
        <v>12841</v>
      </c>
      <c r="I159">
        <v>-6159</v>
      </c>
    </row>
    <row r="160" spans="1:9" x14ac:dyDescent="0.45">
      <c r="A160" t="s">
        <v>78</v>
      </c>
      <c r="B160" t="s">
        <v>79</v>
      </c>
      <c r="C160" t="s">
        <v>69</v>
      </c>
      <c r="D160">
        <v>100</v>
      </c>
      <c r="E160" t="s">
        <v>42</v>
      </c>
      <c r="F160" s="1">
        <v>42429</v>
      </c>
      <c r="G160">
        <v>127.49</v>
      </c>
      <c r="H160">
        <v>12749</v>
      </c>
      <c r="I160">
        <v>-6251</v>
      </c>
    </row>
    <row r="161" spans="1:9" x14ac:dyDescent="0.45">
      <c r="A161" t="s">
        <v>78</v>
      </c>
      <c r="B161" t="s">
        <v>79</v>
      </c>
      <c r="C161" t="s">
        <v>69</v>
      </c>
      <c r="D161">
        <v>100</v>
      </c>
      <c r="E161" t="s">
        <v>43</v>
      </c>
      <c r="F161" s="1">
        <v>42460</v>
      </c>
      <c r="G161">
        <v>143.66999999999999</v>
      </c>
      <c r="H161">
        <v>14367</v>
      </c>
      <c r="I161">
        <v>-4633</v>
      </c>
    </row>
    <row r="162" spans="1:9" x14ac:dyDescent="0.45">
      <c r="A162" t="s">
        <v>78</v>
      </c>
      <c r="B162" t="s">
        <v>79</v>
      </c>
      <c r="C162" t="s">
        <v>69</v>
      </c>
      <c r="D162">
        <v>100</v>
      </c>
      <c r="E162" t="s">
        <v>44</v>
      </c>
      <c r="F162" s="1">
        <v>42489</v>
      </c>
      <c r="G162">
        <v>149.38</v>
      </c>
      <c r="H162">
        <v>14938</v>
      </c>
      <c r="I162">
        <v>-4062</v>
      </c>
    </row>
    <row r="163" spans="1:9" x14ac:dyDescent="0.45">
      <c r="A163" t="s">
        <v>78</v>
      </c>
      <c r="B163" t="s">
        <v>79</v>
      </c>
      <c r="C163" t="s">
        <v>69</v>
      </c>
      <c r="D163">
        <v>100</v>
      </c>
      <c r="E163" t="s">
        <v>45</v>
      </c>
      <c r="F163" s="1">
        <v>42521</v>
      </c>
      <c r="G163">
        <v>148.24</v>
      </c>
      <c r="H163">
        <v>14824</v>
      </c>
      <c r="I163">
        <v>-4176</v>
      </c>
    </row>
    <row r="164" spans="1:9" x14ac:dyDescent="0.45">
      <c r="A164" t="s">
        <v>78</v>
      </c>
      <c r="B164" t="s">
        <v>79</v>
      </c>
      <c r="C164" t="s">
        <v>69</v>
      </c>
      <c r="D164">
        <v>100</v>
      </c>
      <c r="E164" t="s">
        <v>46</v>
      </c>
      <c r="F164" s="1">
        <v>42551</v>
      </c>
      <c r="G164">
        <v>151.49</v>
      </c>
      <c r="H164">
        <v>15149</v>
      </c>
      <c r="I164">
        <v>-3851</v>
      </c>
    </row>
    <row r="165" spans="1:9" x14ac:dyDescent="0.45">
      <c r="A165" t="s">
        <v>78</v>
      </c>
      <c r="B165" t="s">
        <v>79</v>
      </c>
      <c r="C165" t="s">
        <v>69</v>
      </c>
      <c r="D165">
        <v>100</v>
      </c>
      <c r="E165" t="s">
        <v>47</v>
      </c>
      <c r="F165" s="1">
        <v>42580</v>
      </c>
      <c r="G165">
        <v>158.29</v>
      </c>
      <c r="H165">
        <v>15829</v>
      </c>
      <c r="I165">
        <v>-3171</v>
      </c>
    </row>
    <row r="166" spans="1:9" x14ac:dyDescent="0.45">
      <c r="A166" t="s">
        <v>78</v>
      </c>
      <c r="B166" t="s">
        <v>79</v>
      </c>
      <c r="C166" t="s">
        <v>69</v>
      </c>
      <c r="D166">
        <v>100</v>
      </c>
      <c r="E166" t="s">
        <v>48</v>
      </c>
      <c r="F166" s="1">
        <v>42613</v>
      </c>
      <c r="G166">
        <v>160.77000000000001</v>
      </c>
      <c r="H166">
        <v>16077</v>
      </c>
      <c r="I166">
        <v>-2923</v>
      </c>
    </row>
    <row r="167" spans="1:9" x14ac:dyDescent="0.45">
      <c r="A167" t="s">
        <v>78</v>
      </c>
      <c r="B167" t="s">
        <v>79</v>
      </c>
      <c r="C167" t="s">
        <v>69</v>
      </c>
      <c r="D167">
        <v>100</v>
      </c>
      <c r="E167" t="s">
        <v>49</v>
      </c>
      <c r="F167" s="1">
        <v>42643</v>
      </c>
      <c r="G167">
        <v>156.91999999999999</v>
      </c>
      <c r="H167">
        <v>15692</v>
      </c>
      <c r="I167">
        <v>-3308</v>
      </c>
    </row>
    <row r="168" spans="1:9" x14ac:dyDescent="0.45">
      <c r="A168" t="s">
        <v>78</v>
      </c>
      <c r="B168" t="s">
        <v>79</v>
      </c>
      <c r="C168" t="s">
        <v>69</v>
      </c>
      <c r="D168">
        <v>100</v>
      </c>
      <c r="E168" t="s">
        <v>50</v>
      </c>
      <c r="F168" s="1">
        <v>42674</v>
      </c>
      <c r="G168">
        <v>153.75</v>
      </c>
      <c r="H168">
        <v>15375</v>
      </c>
      <c r="I168">
        <v>-3625</v>
      </c>
    </row>
    <row r="169" spans="1:9" x14ac:dyDescent="0.45">
      <c r="A169" t="s">
        <v>78</v>
      </c>
      <c r="B169" t="s">
        <v>79</v>
      </c>
      <c r="C169" t="s">
        <v>69</v>
      </c>
      <c r="D169">
        <v>100</v>
      </c>
      <c r="E169" t="s">
        <v>51</v>
      </c>
      <c r="F169" s="1">
        <v>42704</v>
      </c>
      <c r="G169">
        <v>158.76</v>
      </c>
      <c r="H169">
        <v>15876</v>
      </c>
      <c r="I169">
        <v>-3124</v>
      </c>
    </row>
    <row r="170" spans="1:9" x14ac:dyDescent="0.45">
      <c r="A170" t="s">
        <v>78</v>
      </c>
      <c r="B170" t="s">
        <v>79</v>
      </c>
      <c r="C170" t="s">
        <v>69</v>
      </c>
      <c r="D170">
        <v>100</v>
      </c>
      <c r="E170" t="s">
        <v>52</v>
      </c>
      <c r="F170" s="1">
        <v>42734</v>
      </c>
      <c r="G170">
        <v>165.48</v>
      </c>
      <c r="H170">
        <v>16548</v>
      </c>
      <c r="I170">
        <v>-2452</v>
      </c>
    </row>
    <row r="171" spans="1:9" x14ac:dyDescent="0.45">
      <c r="A171" t="s">
        <v>78</v>
      </c>
      <c r="B171" t="s">
        <v>79</v>
      </c>
      <c r="C171" t="s">
        <v>69</v>
      </c>
      <c r="D171">
        <v>100</v>
      </c>
      <c r="E171" t="s">
        <v>53</v>
      </c>
      <c r="F171" s="1">
        <v>42766</v>
      </c>
      <c r="G171">
        <v>170.72</v>
      </c>
      <c r="H171">
        <v>17072</v>
      </c>
      <c r="I171">
        <v>-1928</v>
      </c>
    </row>
    <row r="172" spans="1:9" x14ac:dyDescent="0.45">
      <c r="A172" t="s">
        <v>78</v>
      </c>
      <c r="B172" t="s">
        <v>79</v>
      </c>
      <c r="C172" t="s">
        <v>69</v>
      </c>
      <c r="D172">
        <v>100</v>
      </c>
      <c r="E172" t="s">
        <v>54</v>
      </c>
      <c r="F172" s="1">
        <v>42794</v>
      </c>
      <c r="G172">
        <v>178.84</v>
      </c>
      <c r="H172">
        <v>17884</v>
      </c>
      <c r="I172">
        <v>-1116</v>
      </c>
    </row>
    <row r="173" spans="1:9" x14ac:dyDescent="0.45">
      <c r="A173" t="s">
        <v>78</v>
      </c>
      <c r="B173" t="s">
        <v>79</v>
      </c>
      <c r="C173" t="s">
        <v>69</v>
      </c>
      <c r="D173">
        <v>100</v>
      </c>
      <c r="E173" t="s">
        <v>55</v>
      </c>
      <c r="F173" s="1">
        <v>42825</v>
      </c>
      <c r="G173">
        <v>176.61</v>
      </c>
      <c r="H173">
        <v>17661</v>
      </c>
      <c r="I173">
        <v>-1339</v>
      </c>
    </row>
    <row r="174" spans="1:9" x14ac:dyDescent="0.45">
      <c r="A174" t="s">
        <v>78</v>
      </c>
      <c r="B174" t="s">
        <v>79</v>
      </c>
      <c r="C174" t="s">
        <v>69</v>
      </c>
      <c r="D174">
        <v>100</v>
      </c>
      <c r="E174" t="s">
        <v>56</v>
      </c>
      <c r="F174" s="1">
        <v>42853</v>
      </c>
      <c r="G174">
        <v>167.15</v>
      </c>
      <c r="H174">
        <v>16715</v>
      </c>
      <c r="I174">
        <v>-2285</v>
      </c>
    </row>
    <row r="175" spans="1:9" x14ac:dyDescent="0.45">
      <c r="A175" t="s">
        <v>78</v>
      </c>
      <c r="B175" t="s">
        <v>79</v>
      </c>
      <c r="C175" t="s">
        <v>69</v>
      </c>
      <c r="D175">
        <v>100</v>
      </c>
      <c r="E175" t="s">
        <v>57</v>
      </c>
      <c r="F175" s="1">
        <v>42886</v>
      </c>
      <c r="G175">
        <v>153.37</v>
      </c>
      <c r="H175">
        <v>15337</v>
      </c>
      <c r="I175">
        <v>-3663</v>
      </c>
    </row>
    <row r="176" spans="1:9" x14ac:dyDescent="0.45">
      <c r="A176" t="s">
        <v>78</v>
      </c>
      <c r="B176" t="s">
        <v>79</v>
      </c>
      <c r="C176" t="s">
        <v>69</v>
      </c>
      <c r="D176">
        <v>100</v>
      </c>
      <c r="E176" t="s">
        <v>58</v>
      </c>
      <c r="F176" s="1">
        <v>42916</v>
      </c>
      <c r="G176">
        <v>153.86000000000001</v>
      </c>
      <c r="H176">
        <v>15386</v>
      </c>
      <c r="I176">
        <v>-3614</v>
      </c>
    </row>
    <row r="177" spans="1:9" x14ac:dyDescent="0.45">
      <c r="A177" t="s">
        <v>78</v>
      </c>
      <c r="B177" t="s">
        <v>79</v>
      </c>
      <c r="C177" t="s">
        <v>69</v>
      </c>
      <c r="D177">
        <v>100</v>
      </c>
      <c r="E177" t="s">
        <v>59</v>
      </c>
      <c r="F177" s="1">
        <v>42947</v>
      </c>
      <c r="G177">
        <v>150.18</v>
      </c>
      <c r="H177">
        <v>15018</v>
      </c>
      <c r="I177">
        <v>-3982</v>
      </c>
    </row>
    <row r="178" spans="1:9" x14ac:dyDescent="0.45">
      <c r="A178" t="s">
        <v>78</v>
      </c>
      <c r="B178" t="s">
        <v>79</v>
      </c>
      <c r="C178" t="s">
        <v>69</v>
      </c>
      <c r="D178">
        <v>100</v>
      </c>
      <c r="E178" t="s">
        <v>60</v>
      </c>
      <c r="F178" s="1">
        <v>42978</v>
      </c>
      <c r="G178">
        <v>142.58000000000001</v>
      </c>
      <c r="H178">
        <v>14258</v>
      </c>
      <c r="I178">
        <v>-4742</v>
      </c>
    </row>
    <row r="179" spans="1:9" x14ac:dyDescent="0.45">
      <c r="A179" t="s">
        <v>78</v>
      </c>
      <c r="B179" t="s">
        <v>79</v>
      </c>
      <c r="C179" t="s">
        <v>69</v>
      </c>
      <c r="D179">
        <v>100</v>
      </c>
      <c r="E179" t="s">
        <v>61</v>
      </c>
      <c r="F179" s="1">
        <v>43007</v>
      </c>
      <c r="G179">
        <v>144.87</v>
      </c>
      <c r="H179">
        <v>14487</v>
      </c>
      <c r="I179">
        <v>-4513</v>
      </c>
    </row>
    <row r="180" spans="1:9" x14ac:dyDescent="0.45">
      <c r="A180" t="s">
        <v>78</v>
      </c>
      <c r="B180" t="s">
        <v>79</v>
      </c>
      <c r="C180" t="s">
        <v>69</v>
      </c>
      <c r="D180">
        <v>100</v>
      </c>
      <c r="E180" t="s">
        <v>62</v>
      </c>
      <c r="F180" s="1">
        <v>43039</v>
      </c>
      <c r="G180">
        <v>151.41999999999999</v>
      </c>
      <c r="H180">
        <v>15142</v>
      </c>
      <c r="I180">
        <v>-3858</v>
      </c>
    </row>
    <row r="181" spans="1:9" x14ac:dyDescent="0.45">
      <c r="A181" t="s">
        <v>78</v>
      </c>
      <c r="B181" t="s">
        <v>79</v>
      </c>
      <c r="C181" t="s">
        <v>69</v>
      </c>
      <c r="D181">
        <v>100</v>
      </c>
      <c r="E181" t="s">
        <v>63</v>
      </c>
      <c r="F181" s="1">
        <v>43069</v>
      </c>
      <c r="G181">
        <v>151.08000000000001</v>
      </c>
      <c r="H181">
        <v>15108</v>
      </c>
      <c r="I181">
        <v>-3892</v>
      </c>
    </row>
    <row r="182" spans="1:9" x14ac:dyDescent="0.45">
      <c r="A182" t="s">
        <v>78</v>
      </c>
      <c r="B182" t="s">
        <v>79</v>
      </c>
      <c r="C182" t="s">
        <v>69</v>
      </c>
      <c r="D182">
        <v>100</v>
      </c>
      <c r="E182" t="s">
        <v>64</v>
      </c>
      <c r="F182" s="1">
        <v>43098</v>
      </c>
      <c r="G182">
        <v>153.93</v>
      </c>
      <c r="H182">
        <v>15393</v>
      </c>
      <c r="I182">
        <v>-3607</v>
      </c>
    </row>
    <row r="183" spans="1:9" x14ac:dyDescent="0.45">
      <c r="A183" t="s">
        <v>78</v>
      </c>
      <c r="B183" t="s">
        <v>79</v>
      </c>
      <c r="C183" t="s">
        <v>69</v>
      </c>
      <c r="D183">
        <v>100</v>
      </c>
      <c r="E183" t="s">
        <v>65</v>
      </c>
      <c r="F183" s="1">
        <v>43131</v>
      </c>
      <c r="G183">
        <v>163.85</v>
      </c>
      <c r="H183">
        <v>16385</v>
      </c>
      <c r="I183">
        <v>-2615</v>
      </c>
    </row>
    <row r="184" spans="1:9" x14ac:dyDescent="0.45">
      <c r="A184" t="s">
        <v>78</v>
      </c>
      <c r="B184" t="s">
        <v>79</v>
      </c>
      <c r="C184" t="s">
        <v>69</v>
      </c>
      <c r="D184">
        <v>100</v>
      </c>
      <c r="E184" t="s">
        <v>66</v>
      </c>
      <c r="F184" s="1">
        <v>43138</v>
      </c>
      <c r="G184">
        <v>156.63</v>
      </c>
      <c r="H184">
        <v>15663</v>
      </c>
      <c r="I184">
        <v>-3337</v>
      </c>
    </row>
    <row r="185" spans="1:9" x14ac:dyDescent="0.45">
      <c r="A185" t="s">
        <v>80</v>
      </c>
      <c r="B185" t="s">
        <v>81</v>
      </c>
      <c r="C185" t="s">
        <v>5</v>
      </c>
      <c r="D185">
        <v>100</v>
      </c>
      <c r="E185" t="s">
        <v>6</v>
      </c>
      <c r="F185" s="1">
        <v>41333</v>
      </c>
      <c r="G185">
        <v>65.31</v>
      </c>
      <c r="H185">
        <v>6531</v>
      </c>
      <c r="I185">
        <v>1031</v>
      </c>
    </row>
    <row r="186" spans="1:9" x14ac:dyDescent="0.45">
      <c r="A186" t="s">
        <v>80</v>
      </c>
      <c r="B186" t="s">
        <v>81</v>
      </c>
      <c r="C186" t="s">
        <v>5</v>
      </c>
      <c r="D186">
        <v>100</v>
      </c>
      <c r="E186" t="s">
        <v>7</v>
      </c>
      <c r="F186" s="1">
        <v>41361</v>
      </c>
      <c r="G186">
        <v>63.12</v>
      </c>
      <c r="H186">
        <v>6312</v>
      </c>
      <c r="I186">
        <v>812</v>
      </c>
    </row>
    <row r="187" spans="1:9" x14ac:dyDescent="0.45">
      <c r="A187" t="s">
        <v>80</v>
      </c>
      <c r="B187" t="s">
        <v>81</v>
      </c>
      <c r="C187" t="s">
        <v>5</v>
      </c>
      <c r="D187">
        <v>100</v>
      </c>
      <c r="E187" t="s">
        <v>8</v>
      </c>
      <c r="F187" s="1">
        <v>41394</v>
      </c>
      <c r="G187">
        <v>59.97</v>
      </c>
      <c r="H187">
        <v>5997</v>
      </c>
      <c r="I187">
        <v>497</v>
      </c>
    </row>
    <row r="188" spans="1:9" x14ac:dyDescent="0.45">
      <c r="A188" t="s">
        <v>80</v>
      </c>
      <c r="B188" t="s">
        <v>81</v>
      </c>
      <c r="C188" t="s">
        <v>5</v>
      </c>
      <c r="D188">
        <v>100</v>
      </c>
      <c r="E188" t="s">
        <v>9</v>
      </c>
      <c r="F188" s="1">
        <v>41425</v>
      </c>
      <c r="G188">
        <v>63.78</v>
      </c>
      <c r="H188">
        <v>6378</v>
      </c>
      <c r="I188">
        <v>878</v>
      </c>
    </row>
    <row r="189" spans="1:9" x14ac:dyDescent="0.45">
      <c r="A189" t="s">
        <v>80</v>
      </c>
      <c r="B189" t="s">
        <v>81</v>
      </c>
      <c r="C189" t="s">
        <v>5</v>
      </c>
      <c r="D189">
        <v>100</v>
      </c>
      <c r="E189" t="s">
        <v>10</v>
      </c>
      <c r="F189" s="1">
        <v>41453</v>
      </c>
      <c r="G189">
        <v>60.79</v>
      </c>
      <c r="H189">
        <v>6079</v>
      </c>
      <c r="I189">
        <v>579</v>
      </c>
    </row>
    <row r="190" spans="1:9" x14ac:dyDescent="0.45">
      <c r="A190" t="s">
        <v>80</v>
      </c>
      <c r="B190" t="s">
        <v>81</v>
      </c>
      <c r="C190" t="s">
        <v>5</v>
      </c>
      <c r="D190">
        <v>100</v>
      </c>
      <c r="E190" t="s">
        <v>11</v>
      </c>
      <c r="F190" s="1">
        <v>41486</v>
      </c>
      <c r="G190">
        <v>61.31</v>
      </c>
      <c r="H190">
        <v>6131</v>
      </c>
      <c r="I190">
        <v>631</v>
      </c>
    </row>
    <row r="191" spans="1:9" x14ac:dyDescent="0.45">
      <c r="A191" t="s">
        <v>80</v>
      </c>
      <c r="B191" t="s">
        <v>81</v>
      </c>
      <c r="C191" t="s">
        <v>5</v>
      </c>
      <c r="D191">
        <v>100</v>
      </c>
      <c r="E191" t="s">
        <v>12</v>
      </c>
      <c r="F191" s="1">
        <v>41516</v>
      </c>
      <c r="G191">
        <v>69.260000000000005</v>
      </c>
      <c r="H191">
        <v>6926</v>
      </c>
      <c r="I191">
        <v>1426</v>
      </c>
    </row>
    <row r="192" spans="1:9" x14ac:dyDescent="0.45">
      <c r="A192" t="s">
        <v>80</v>
      </c>
      <c r="B192" t="s">
        <v>81</v>
      </c>
      <c r="C192" t="s">
        <v>5</v>
      </c>
      <c r="D192">
        <v>100</v>
      </c>
      <c r="E192" t="s">
        <v>13</v>
      </c>
      <c r="F192" s="1">
        <v>41547</v>
      </c>
      <c r="G192">
        <v>68.599999999999994</v>
      </c>
      <c r="H192">
        <v>6860</v>
      </c>
      <c r="I192">
        <v>1360</v>
      </c>
    </row>
    <row r="193" spans="1:9" x14ac:dyDescent="0.45">
      <c r="A193" t="s">
        <v>80</v>
      </c>
      <c r="B193" t="s">
        <v>81</v>
      </c>
      <c r="C193" t="s">
        <v>5</v>
      </c>
      <c r="D193">
        <v>100</v>
      </c>
      <c r="E193" t="s">
        <v>14</v>
      </c>
      <c r="F193" s="1">
        <v>41578</v>
      </c>
      <c r="G193">
        <v>72.11</v>
      </c>
      <c r="H193">
        <v>7211</v>
      </c>
      <c r="I193">
        <v>1711</v>
      </c>
    </row>
    <row r="194" spans="1:9" x14ac:dyDescent="0.45">
      <c r="A194" t="s">
        <v>80</v>
      </c>
      <c r="B194" t="s">
        <v>81</v>
      </c>
      <c r="C194" t="s">
        <v>5</v>
      </c>
      <c r="D194">
        <v>100</v>
      </c>
      <c r="E194" t="s">
        <v>15</v>
      </c>
      <c r="F194" s="1">
        <v>41607</v>
      </c>
      <c r="G194">
        <v>74.95</v>
      </c>
      <c r="H194">
        <v>7495</v>
      </c>
      <c r="I194">
        <v>1995</v>
      </c>
    </row>
    <row r="195" spans="1:9" x14ac:dyDescent="0.45">
      <c r="A195" t="s">
        <v>80</v>
      </c>
      <c r="B195" t="s">
        <v>81</v>
      </c>
      <c r="C195" t="s">
        <v>5</v>
      </c>
      <c r="D195">
        <v>100</v>
      </c>
      <c r="E195" t="s">
        <v>16</v>
      </c>
      <c r="F195" s="1">
        <v>41639</v>
      </c>
      <c r="G195">
        <v>79.95</v>
      </c>
      <c r="H195">
        <v>7995</v>
      </c>
      <c r="I195">
        <v>2495</v>
      </c>
    </row>
    <row r="196" spans="1:9" x14ac:dyDescent="0.45">
      <c r="A196" t="s">
        <v>80</v>
      </c>
      <c r="B196" t="s">
        <v>81</v>
      </c>
      <c r="C196" t="s">
        <v>5</v>
      </c>
      <c r="D196">
        <v>100</v>
      </c>
      <c r="E196" t="s">
        <v>17</v>
      </c>
      <c r="F196" s="1">
        <v>41670</v>
      </c>
      <c r="G196">
        <v>76.78</v>
      </c>
      <c r="H196">
        <v>7678</v>
      </c>
      <c r="I196">
        <v>2178</v>
      </c>
    </row>
    <row r="197" spans="1:9" x14ac:dyDescent="0.45">
      <c r="A197" t="s">
        <v>80</v>
      </c>
      <c r="B197" t="s">
        <v>81</v>
      </c>
      <c r="C197" t="s">
        <v>5</v>
      </c>
      <c r="D197">
        <v>100</v>
      </c>
      <c r="E197" t="s">
        <v>18</v>
      </c>
      <c r="F197" s="1">
        <v>41698</v>
      </c>
      <c r="G197">
        <v>75.23</v>
      </c>
      <c r="H197">
        <v>7523</v>
      </c>
      <c r="I197">
        <v>2023</v>
      </c>
    </row>
    <row r="198" spans="1:9" x14ac:dyDescent="0.45">
      <c r="A198" t="s">
        <v>80</v>
      </c>
      <c r="B198" t="s">
        <v>81</v>
      </c>
      <c r="C198" t="s">
        <v>5</v>
      </c>
      <c r="D198">
        <v>100</v>
      </c>
      <c r="E198" t="s">
        <v>19</v>
      </c>
      <c r="F198" s="1">
        <v>41729</v>
      </c>
      <c r="G198">
        <v>76.17</v>
      </c>
      <c r="H198">
        <v>7617</v>
      </c>
      <c r="I198">
        <v>2117</v>
      </c>
    </row>
    <row r="199" spans="1:9" x14ac:dyDescent="0.45">
      <c r="A199" t="s">
        <v>80</v>
      </c>
      <c r="B199" t="s">
        <v>81</v>
      </c>
      <c r="C199" t="s">
        <v>5</v>
      </c>
      <c r="D199">
        <v>100</v>
      </c>
      <c r="E199" t="s">
        <v>20</v>
      </c>
      <c r="F199" s="1">
        <v>41759</v>
      </c>
      <c r="G199">
        <v>77.3</v>
      </c>
      <c r="H199">
        <v>7730</v>
      </c>
      <c r="I199">
        <v>2230</v>
      </c>
    </row>
    <row r="200" spans="1:9" x14ac:dyDescent="0.45">
      <c r="A200" t="s">
        <v>80</v>
      </c>
      <c r="B200" t="s">
        <v>81</v>
      </c>
      <c r="C200" t="s">
        <v>5</v>
      </c>
      <c r="D200">
        <v>100</v>
      </c>
      <c r="E200" t="s">
        <v>21</v>
      </c>
      <c r="F200" s="1">
        <v>41789</v>
      </c>
      <c r="G200">
        <v>86.17</v>
      </c>
      <c r="H200">
        <v>8617</v>
      </c>
      <c r="I200">
        <v>3117</v>
      </c>
    </row>
    <row r="201" spans="1:9" x14ac:dyDescent="0.45">
      <c r="A201" t="s">
        <v>80</v>
      </c>
      <c r="B201" t="s">
        <v>81</v>
      </c>
      <c r="C201" t="s">
        <v>5</v>
      </c>
      <c r="D201">
        <v>100</v>
      </c>
      <c r="E201" t="s">
        <v>22</v>
      </c>
      <c r="F201" s="1">
        <v>41820</v>
      </c>
      <c r="G201">
        <v>91.89</v>
      </c>
      <c r="H201">
        <v>9189</v>
      </c>
      <c r="I201">
        <v>3689</v>
      </c>
    </row>
    <row r="202" spans="1:9" x14ac:dyDescent="0.45">
      <c r="A202" t="s">
        <v>80</v>
      </c>
      <c r="B202" t="s">
        <v>81</v>
      </c>
      <c r="C202" t="s">
        <v>5</v>
      </c>
      <c r="D202">
        <v>100</v>
      </c>
      <c r="E202" t="s">
        <v>23</v>
      </c>
      <c r="F202" s="1">
        <v>41851</v>
      </c>
      <c r="G202">
        <v>95.63</v>
      </c>
      <c r="H202">
        <v>9563</v>
      </c>
      <c r="I202">
        <v>4063</v>
      </c>
    </row>
    <row r="203" spans="1:9" x14ac:dyDescent="0.45">
      <c r="A203" t="s">
        <v>80</v>
      </c>
      <c r="B203" t="s">
        <v>81</v>
      </c>
      <c r="C203" t="s">
        <v>5</v>
      </c>
      <c r="D203">
        <v>100</v>
      </c>
      <c r="E203" t="s">
        <v>24</v>
      </c>
      <c r="F203" s="1">
        <v>41880</v>
      </c>
      <c r="G203">
        <v>98.44</v>
      </c>
      <c r="H203">
        <v>9844</v>
      </c>
      <c r="I203">
        <v>4344</v>
      </c>
    </row>
    <row r="204" spans="1:9" x14ac:dyDescent="0.45">
      <c r="A204" t="s">
        <v>80</v>
      </c>
      <c r="B204" t="s">
        <v>81</v>
      </c>
      <c r="C204" t="s">
        <v>5</v>
      </c>
      <c r="D204">
        <v>100</v>
      </c>
      <c r="E204" t="s">
        <v>25</v>
      </c>
      <c r="F204" s="1">
        <v>41912</v>
      </c>
      <c r="G204">
        <v>100.55</v>
      </c>
      <c r="H204">
        <v>10055</v>
      </c>
      <c r="I204">
        <v>4555</v>
      </c>
    </row>
    <row r="205" spans="1:9" x14ac:dyDescent="0.45">
      <c r="A205" t="s">
        <v>80</v>
      </c>
      <c r="B205" t="s">
        <v>81</v>
      </c>
      <c r="C205" t="s">
        <v>5</v>
      </c>
      <c r="D205">
        <v>100</v>
      </c>
      <c r="E205" t="s">
        <v>26</v>
      </c>
      <c r="F205" s="1">
        <v>41943</v>
      </c>
      <c r="G205">
        <v>101.7</v>
      </c>
      <c r="H205">
        <v>10170</v>
      </c>
      <c r="I205">
        <v>4670</v>
      </c>
    </row>
    <row r="206" spans="1:9" x14ac:dyDescent="0.45">
      <c r="A206" t="s">
        <v>80</v>
      </c>
      <c r="B206" t="s">
        <v>81</v>
      </c>
      <c r="C206" t="s">
        <v>5</v>
      </c>
      <c r="D206">
        <v>100</v>
      </c>
      <c r="E206" t="s">
        <v>27</v>
      </c>
      <c r="F206" s="1">
        <v>41971</v>
      </c>
      <c r="G206">
        <v>113.28</v>
      </c>
      <c r="H206">
        <v>11328</v>
      </c>
      <c r="I206">
        <v>5828</v>
      </c>
    </row>
    <row r="207" spans="1:9" x14ac:dyDescent="0.45">
      <c r="A207" t="s">
        <v>80</v>
      </c>
      <c r="B207" t="s">
        <v>81</v>
      </c>
      <c r="C207" t="s">
        <v>5</v>
      </c>
      <c r="D207">
        <v>100</v>
      </c>
      <c r="E207" t="s">
        <v>28</v>
      </c>
      <c r="F207" s="1">
        <v>42004</v>
      </c>
      <c r="G207">
        <v>112.41</v>
      </c>
      <c r="H207">
        <v>11241</v>
      </c>
      <c r="I207">
        <v>5741</v>
      </c>
    </row>
    <row r="208" spans="1:9" x14ac:dyDescent="0.45">
      <c r="A208" t="s">
        <v>80</v>
      </c>
      <c r="B208" t="s">
        <v>81</v>
      </c>
      <c r="C208" t="s">
        <v>5</v>
      </c>
      <c r="D208">
        <v>100</v>
      </c>
      <c r="E208" t="s">
        <v>29</v>
      </c>
      <c r="F208" s="1">
        <v>42034</v>
      </c>
      <c r="G208">
        <v>110.64</v>
      </c>
      <c r="H208">
        <v>11064</v>
      </c>
      <c r="I208">
        <v>5564</v>
      </c>
    </row>
    <row r="209" spans="1:9" x14ac:dyDescent="0.45">
      <c r="A209" t="s">
        <v>80</v>
      </c>
      <c r="B209" t="s">
        <v>81</v>
      </c>
      <c r="C209" t="s">
        <v>5</v>
      </c>
      <c r="D209">
        <v>100</v>
      </c>
      <c r="E209" t="s">
        <v>30</v>
      </c>
      <c r="F209" s="1">
        <v>42062</v>
      </c>
      <c r="G209">
        <v>125.43</v>
      </c>
      <c r="H209">
        <v>12543</v>
      </c>
      <c r="I209">
        <v>7043</v>
      </c>
    </row>
    <row r="210" spans="1:9" x14ac:dyDescent="0.45">
      <c r="A210" t="s">
        <v>80</v>
      </c>
      <c r="B210" t="s">
        <v>81</v>
      </c>
      <c r="C210" t="s">
        <v>5</v>
      </c>
      <c r="D210">
        <v>100</v>
      </c>
      <c r="E210" t="s">
        <v>31</v>
      </c>
      <c r="F210" s="1">
        <v>42094</v>
      </c>
      <c r="G210">
        <v>125.97</v>
      </c>
      <c r="H210">
        <v>12597</v>
      </c>
      <c r="I210">
        <v>7097</v>
      </c>
    </row>
    <row r="211" spans="1:9" x14ac:dyDescent="0.45">
      <c r="A211" t="s">
        <v>80</v>
      </c>
      <c r="B211" t="s">
        <v>81</v>
      </c>
      <c r="C211" t="s">
        <v>5</v>
      </c>
      <c r="D211">
        <v>100</v>
      </c>
      <c r="E211" t="s">
        <v>32</v>
      </c>
      <c r="F211" s="1">
        <v>42124</v>
      </c>
      <c r="G211">
        <v>127.29</v>
      </c>
      <c r="H211">
        <v>12729</v>
      </c>
      <c r="I211">
        <v>7229</v>
      </c>
    </row>
    <row r="212" spans="1:9" x14ac:dyDescent="0.45">
      <c r="A212" t="s">
        <v>80</v>
      </c>
      <c r="B212" t="s">
        <v>81</v>
      </c>
      <c r="C212" t="s">
        <v>5</v>
      </c>
      <c r="D212">
        <v>100</v>
      </c>
      <c r="E212" t="s">
        <v>33</v>
      </c>
      <c r="F212" s="1">
        <v>42153</v>
      </c>
      <c r="G212">
        <v>128.76</v>
      </c>
      <c r="H212">
        <v>12876</v>
      </c>
      <c r="I212">
        <v>7376</v>
      </c>
    </row>
    <row r="213" spans="1:9" x14ac:dyDescent="0.45">
      <c r="A213" t="s">
        <v>80</v>
      </c>
      <c r="B213" t="s">
        <v>81</v>
      </c>
      <c r="C213" t="s">
        <v>5</v>
      </c>
      <c r="D213">
        <v>100</v>
      </c>
      <c r="E213" t="s">
        <v>34</v>
      </c>
      <c r="F213" s="1">
        <v>42185</v>
      </c>
      <c r="G213">
        <v>127.81</v>
      </c>
      <c r="H213">
        <v>12781</v>
      </c>
      <c r="I213">
        <v>7281</v>
      </c>
    </row>
    <row r="214" spans="1:9" x14ac:dyDescent="0.45">
      <c r="A214" t="s">
        <v>80</v>
      </c>
      <c r="B214" t="s">
        <v>81</v>
      </c>
      <c r="C214" t="s">
        <v>5</v>
      </c>
      <c r="D214">
        <v>100</v>
      </c>
      <c r="E214" t="s">
        <v>35</v>
      </c>
      <c r="F214" s="1">
        <v>42216</v>
      </c>
      <c r="G214">
        <v>125.34</v>
      </c>
      <c r="H214">
        <v>12534</v>
      </c>
      <c r="I214">
        <v>7034</v>
      </c>
    </row>
    <row r="215" spans="1:9" x14ac:dyDescent="0.45">
      <c r="A215" t="s">
        <v>80</v>
      </c>
      <c r="B215" t="s">
        <v>81</v>
      </c>
      <c r="C215" t="s">
        <v>5</v>
      </c>
      <c r="D215">
        <v>100</v>
      </c>
      <c r="E215" t="s">
        <v>36</v>
      </c>
      <c r="F215" s="1">
        <v>42247</v>
      </c>
      <c r="G215">
        <v>113.39</v>
      </c>
      <c r="H215">
        <v>11339</v>
      </c>
      <c r="I215">
        <v>5839</v>
      </c>
    </row>
    <row r="216" spans="1:9" x14ac:dyDescent="0.45">
      <c r="A216" t="s">
        <v>80</v>
      </c>
      <c r="B216" t="s">
        <v>81</v>
      </c>
      <c r="C216" t="s">
        <v>5</v>
      </c>
      <c r="D216">
        <v>100</v>
      </c>
      <c r="E216" t="s">
        <v>37</v>
      </c>
      <c r="F216" s="1">
        <v>42277</v>
      </c>
      <c r="G216">
        <v>112.8</v>
      </c>
      <c r="H216">
        <v>11280</v>
      </c>
      <c r="I216">
        <v>5780</v>
      </c>
    </row>
    <row r="217" spans="1:9" x14ac:dyDescent="0.45">
      <c r="A217" t="s">
        <v>80</v>
      </c>
      <c r="B217" t="s">
        <v>81</v>
      </c>
      <c r="C217" t="s">
        <v>5</v>
      </c>
      <c r="D217">
        <v>100</v>
      </c>
      <c r="E217" t="s">
        <v>38</v>
      </c>
      <c r="F217" s="1">
        <v>42307</v>
      </c>
      <c r="G217">
        <v>113.36</v>
      </c>
      <c r="H217">
        <v>11336</v>
      </c>
      <c r="I217">
        <v>5836</v>
      </c>
    </row>
    <row r="218" spans="1:9" x14ac:dyDescent="0.45">
      <c r="A218" t="s">
        <v>80</v>
      </c>
      <c r="B218" t="s">
        <v>81</v>
      </c>
      <c r="C218" t="s">
        <v>5</v>
      </c>
      <c r="D218">
        <v>100</v>
      </c>
      <c r="E218" t="s">
        <v>39</v>
      </c>
      <c r="F218" s="1">
        <v>42338</v>
      </c>
      <c r="G218">
        <v>118.16</v>
      </c>
      <c r="H218">
        <v>11816</v>
      </c>
      <c r="I218">
        <v>6316</v>
      </c>
    </row>
    <row r="219" spans="1:9" x14ac:dyDescent="0.45">
      <c r="A219" t="s">
        <v>80</v>
      </c>
      <c r="B219" t="s">
        <v>81</v>
      </c>
      <c r="C219" t="s">
        <v>5</v>
      </c>
      <c r="D219">
        <v>100</v>
      </c>
      <c r="E219" t="s">
        <v>40</v>
      </c>
      <c r="F219" s="1">
        <v>42369</v>
      </c>
      <c r="G219">
        <v>111.73</v>
      </c>
      <c r="H219">
        <v>11173</v>
      </c>
      <c r="I219">
        <v>5673</v>
      </c>
    </row>
    <row r="220" spans="1:9" x14ac:dyDescent="0.45">
      <c r="A220" t="s">
        <v>80</v>
      </c>
      <c r="B220" t="s">
        <v>81</v>
      </c>
      <c r="C220" t="s">
        <v>5</v>
      </c>
      <c r="D220">
        <v>100</v>
      </c>
      <c r="E220" t="s">
        <v>41</v>
      </c>
      <c r="F220" s="1">
        <v>42398</v>
      </c>
      <c r="G220">
        <v>98.43</v>
      </c>
      <c r="H220">
        <v>9843</v>
      </c>
      <c r="I220">
        <v>4343</v>
      </c>
    </row>
    <row r="221" spans="1:9" x14ac:dyDescent="0.45">
      <c r="A221" t="s">
        <v>80</v>
      </c>
      <c r="B221" t="s">
        <v>81</v>
      </c>
      <c r="C221" t="s">
        <v>5</v>
      </c>
      <c r="D221">
        <v>100</v>
      </c>
      <c r="E221" t="s">
        <v>42</v>
      </c>
      <c r="F221" s="1">
        <v>42429</v>
      </c>
      <c r="G221">
        <v>95.75</v>
      </c>
      <c r="H221">
        <v>9575</v>
      </c>
      <c r="I221">
        <v>4075</v>
      </c>
    </row>
    <row r="222" spans="1:9" x14ac:dyDescent="0.45">
      <c r="A222" t="s">
        <v>80</v>
      </c>
      <c r="B222" t="s">
        <v>81</v>
      </c>
      <c r="C222" t="s">
        <v>5</v>
      </c>
      <c r="D222">
        <v>100</v>
      </c>
      <c r="E222" t="s">
        <v>43</v>
      </c>
      <c r="F222" s="1">
        <v>42460</v>
      </c>
      <c r="G222">
        <v>104.27</v>
      </c>
      <c r="H222">
        <v>10427</v>
      </c>
      <c r="I222">
        <v>4927</v>
      </c>
    </row>
    <row r="223" spans="1:9" x14ac:dyDescent="0.45">
      <c r="A223" t="s">
        <v>80</v>
      </c>
      <c r="B223" t="s">
        <v>81</v>
      </c>
      <c r="C223" t="s">
        <v>5</v>
      </c>
      <c r="D223">
        <v>100</v>
      </c>
      <c r="E223" t="s">
        <v>44</v>
      </c>
      <c r="F223" s="1">
        <v>42489</v>
      </c>
      <c r="G223">
        <v>106.74</v>
      </c>
      <c r="H223">
        <v>10674</v>
      </c>
      <c r="I223">
        <v>5174</v>
      </c>
    </row>
    <row r="224" spans="1:9" x14ac:dyDescent="0.45">
      <c r="A224" t="s">
        <v>80</v>
      </c>
      <c r="B224" t="s">
        <v>81</v>
      </c>
      <c r="C224" t="s">
        <v>5</v>
      </c>
      <c r="D224">
        <v>100</v>
      </c>
      <c r="E224" t="s">
        <v>45</v>
      </c>
      <c r="F224" s="1">
        <v>42521</v>
      </c>
      <c r="G224">
        <v>94.97</v>
      </c>
      <c r="H224">
        <v>9497</v>
      </c>
      <c r="I224">
        <v>3997</v>
      </c>
    </row>
    <row r="225" spans="1:9" x14ac:dyDescent="0.45">
      <c r="A225" t="s">
        <v>80</v>
      </c>
      <c r="B225" t="s">
        <v>81</v>
      </c>
      <c r="C225" t="s">
        <v>5</v>
      </c>
      <c r="D225">
        <v>100</v>
      </c>
      <c r="E225" t="s">
        <v>46</v>
      </c>
      <c r="F225" s="1">
        <v>42551</v>
      </c>
      <c r="G225">
        <v>96.62</v>
      </c>
      <c r="H225">
        <v>9662</v>
      </c>
      <c r="I225">
        <v>4162</v>
      </c>
    </row>
    <row r="226" spans="1:9" x14ac:dyDescent="0.45">
      <c r="A226" t="s">
        <v>80</v>
      </c>
      <c r="B226" t="s">
        <v>81</v>
      </c>
      <c r="C226" t="s">
        <v>5</v>
      </c>
      <c r="D226">
        <v>100</v>
      </c>
      <c r="E226" t="s">
        <v>47</v>
      </c>
      <c r="F226" s="1">
        <v>42580</v>
      </c>
      <c r="G226">
        <v>98.56</v>
      </c>
      <c r="H226">
        <v>9856</v>
      </c>
      <c r="I226">
        <v>4356</v>
      </c>
    </row>
    <row r="227" spans="1:9" x14ac:dyDescent="0.45">
      <c r="A227" t="s">
        <v>80</v>
      </c>
      <c r="B227" t="s">
        <v>81</v>
      </c>
      <c r="C227" t="s">
        <v>5</v>
      </c>
      <c r="D227">
        <v>100</v>
      </c>
      <c r="E227" t="s">
        <v>48</v>
      </c>
      <c r="F227" s="1">
        <v>42613</v>
      </c>
      <c r="G227">
        <v>107.67</v>
      </c>
      <c r="H227">
        <v>10767</v>
      </c>
      <c r="I227">
        <v>5267</v>
      </c>
    </row>
    <row r="228" spans="1:9" x14ac:dyDescent="0.45">
      <c r="A228" t="s">
        <v>80</v>
      </c>
      <c r="B228" t="s">
        <v>81</v>
      </c>
      <c r="C228" t="s">
        <v>5</v>
      </c>
      <c r="D228">
        <v>100</v>
      </c>
      <c r="E228" t="s">
        <v>49</v>
      </c>
      <c r="F228" s="1">
        <v>42643</v>
      </c>
      <c r="G228">
        <v>110.86</v>
      </c>
      <c r="H228">
        <v>11086</v>
      </c>
      <c r="I228">
        <v>5586</v>
      </c>
    </row>
    <row r="229" spans="1:9" x14ac:dyDescent="0.45">
      <c r="A229" t="s">
        <v>80</v>
      </c>
      <c r="B229" t="s">
        <v>81</v>
      </c>
      <c r="C229" t="s">
        <v>5</v>
      </c>
      <c r="D229">
        <v>100</v>
      </c>
      <c r="E229" t="s">
        <v>50</v>
      </c>
      <c r="F229" s="1">
        <v>42674</v>
      </c>
      <c r="G229">
        <v>115.71</v>
      </c>
      <c r="H229">
        <v>11571</v>
      </c>
      <c r="I229">
        <v>6071</v>
      </c>
    </row>
    <row r="230" spans="1:9" x14ac:dyDescent="0.45">
      <c r="A230" t="s">
        <v>80</v>
      </c>
      <c r="B230" t="s">
        <v>81</v>
      </c>
      <c r="C230" t="s">
        <v>5</v>
      </c>
      <c r="D230">
        <v>100</v>
      </c>
      <c r="E230" t="s">
        <v>51</v>
      </c>
      <c r="F230" s="1">
        <v>42704</v>
      </c>
      <c r="G230">
        <v>110.15</v>
      </c>
      <c r="H230">
        <v>11015</v>
      </c>
      <c r="I230">
        <v>5515</v>
      </c>
    </row>
    <row r="231" spans="1:9" x14ac:dyDescent="0.45">
      <c r="A231" t="s">
        <v>80</v>
      </c>
      <c r="B231" t="s">
        <v>81</v>
      </c>
      <c r="C231" t="s">
        <v>5</v>
      </c>
      <c r="D231">
        <v>100</v>
      </c>
      <c r="E231" t="s">
        <v>52</v>
      </c>
      <c r="F231" s="1">
        <v>42734</v>
      </c>
      <c r="G231">
        <v>114.34</v>
      </c>
      <c r="H231">
        <v>11434</v>
      </c>
      <c r="I231">
        <v>5934</v>
      </c>
    </row>
    <row r="232" spans="1:9" x14ac:dyDescent="0.45">
      <c r="A232" t="s">
        <v>80</v>
      </c>
      <c r="B232" t="s">
        <v>81</v>
      </c>
      <c r="C232" t="s">
        <v>5</v>
      </c>
      <c r="D232">
        <v>100</v>
      </c>
      <c r="E232" t="s">
        <v>53</v>
      </c>
      <c r="F232" s="1">
        <v>42766</v>
      </c>
      <c r="G232">
        <v>119.57</v>
      </c>
      <c r="H232">
        <v>11957</v>
      </c>
      <c r="I232">
        <v>6457</v>
      </c>
    </row>
    <row r="233" spans="1:9" x14ac:dyDescent="0.45">
      <c r="A233" t="s">
        <v>80</v>
      </c>
      <c r="B233" t="s">
        <v>81</v>
      </c>
      <c r="C233" t="s">
        <v>5</v>
      </c>
      <c r="D233">
        <v>100</v>
      </c>
      <c r="E233" t="s">
        <v>54</v>
      </c>
      <c r="F233" s="1">
        <v>42794</v>
      </c>
      <c r="G233">
        <v>133.71</v>
      </c>
      <c r="H233">
        <v>13371</v>
      </c>
      <c r="I233">
        <v>7871</v>
      </c>
    </row>
    <row r="234" spans="1:9" x14ac:dyDescent="0.45">
      <c r="A234" t="s">
        <v>80</v>
      </c>
      <c r="B234" t="s">
        <v>81</v>
      </c>
      <c r="C234" t="s">
        <v>5</v>
      </c>
      <c r="D234">
        <v>100</v>
      </c>
      <c r="E234" t="s">
        <v>55</v>
      </c>
      <c r="F234" s="1">
        <v>42825</v>
      </c>
      <c r="G234">
        <v>140.62</v>
      </c>
      <c r="H234">
        <v>14062</v>
      </c>
      <c r="I234">
        <v>8562</v>
      </c>
    </row>
    <row r="235" spans="1:9" x14ac:dyDescent="0.45">
      <c r="A235" t="s">
        <v>80</v>
      </c>
      <c r="B235" t="s">
        <v>81</v>
      </c>
      <c r="C235" t="s">
        <v>5</v>
      </c>
      <c r="D235">
        <v>100</v>
      </c>
      <c r="E235" t="s">
        <v>56</v>
      </c>
      <c r="F235" s="1">
        <v>42853</v>
      </c>
      <c r="G235">
        <v>142.88999999999999</v>
      </c>
      <c r="H235">
        <v>14289</v>
      </c>
      <c r="I235">
        <v>8789</v>
      </c>
    </row>
    <row r="236" spans="1:9" x14ac:dyDescent="0.45">
      <c r="A236" t="s">
        <v>80</v>
      </c>
      <c r="B236" t="s">
        <v>81</v>
      </c>
      <c r="C236" t="s">
        <v>5</v>
      </c>
      <c r="D236">
        <v>100</v>
      </c>
      <c r="E236" t="s">
        <v>57</v>
      </c>
      <c r="F236" s="1">
        <v>42886</v>
      </c>
      <c r="G236">
        <v>152.22999999999999</v>
      </c>
      <c r="H236">
        <v>15223</v>
      </c>
      <c r="I236">
        <v>9723</v>
      </c>
    </row>
    <row r="237" spans="1:9" x14ac:dyDescent="0.45">
      <c r="A237" t="s">
        <v>80</v>
      </c>
      <c r="B237" t="s">
        <v>81</v>
      </c>
      <c r="C237" t="s">
        <v>5</v>
      </c>
      <c r="D237">
        <v>100</v>
      </c>
      <c r="E237" t="s">
        <v>58</v>
      </c>
      <c r="F237" s="1">
        <v>42916</v>
      </c>
      <c r="G237">
        <v>147.83000000000001</v>
      </c>
      <c r="H237">
        <v>14783</v>
      </c>
      <c r="I237">
        <v>9283</v>
      </c>
    </row>
    <row r="238" spans="1:9" x14ac:dyDescent="0.45">
      <c r="A238" t="s">
        <v>80</v>
      </c>
      <c r="B238" t="s">
        <v>81</v>
      </c>
      <c r="C238" t="s">
        <v>5</v>
      </c>
      <c r="D238">
        <v>100</v>
      </c>
      <c r="E238" t="s">
        <v>59</v>
      </c>
      <c r="F238" s="1">
        <v>42947</v>
      </c>
      <c r="G238">
        <v>148.30000000000001</v>
      </c>
      <c r="H238">
        <v>14830</v>
      </c>
      <c r="I238">
        <v>9330</v>
      </c>
    </row>
    <row r="239" spans="1:9" x14ac:dyDescent="0.45">
      <c r="A239" t="s">
        <v>80</v>
      </c>
      <c r="B239" t="s">
        <v>81</v>
      </c>
      <c r="C239" t="s">
        <v>5</v>
      </c>
      <c r="D239">
        <v>100</v>
      </c>
      <c r="E239" t="s">
        <v>60</v>
      </c>
      <c r="F239" s="1">
        <v>42978</v>
      </c>
      <c r="G239">
        <v>159.38999999999999</v>
      </c>
      <c r="H239">
        <v>15939</v>
      </c>
      <c r="I239">
        <v>10439</v>
      </c>
    </row>
    <row r="240" spans="1:9" x14ac:dyDescent="0.45">
      <c r="A240" t="s">
        <v>80</v>
      </c>
      <c r="B240" t="s">
        <v>81</v>
      </c>
      <c r="C240" t="s">
        <v>5</v>
      </c>
      <c r="D240">
        <v>100</v>
      </c>
      <c r="E240" t="s">
        <v>61</v>
      </c>
      <c r="F240" s="1">
        <v>43007</v>
      </c>
      <c r="G240">
        <v>157.61000000000001</v>
      </c>
      <c r="H240">
        <v>15761</v>
      </c>
      <c r="I240">
        <v>10261</v>
      </c>
    </row>
    <row r="241" spans="1:9" x14ac:dyDescent="0.45">
      <c r="A241" t="s">
        <v>80</v>
      </c>
      <c r="B241" t="s">
        <v>81</v>
      </c>
      <c r="C241" t="s">
        <v>5</v>
      </c>
      <c r="D241">
        <v>100</v>
      </c>
      <c r="E241" t="s">
        <v>62</v>
      </c>
      <c r="F241" s="1">
        <v>43039</v>
      </c>
      <c r="G241">
        <v>157.82</v>
      </c>
      <c r="H241">
        <v>15782</v>
      </c>
      <c r="I241">
        <v>10282</v>
      </c>
    </row>
    <row r="242" spans="1:9" x14ac:dyDescent="0.45">
      <c r="A242" t="s">
        <v>80</v>
      </c>
      <c r="B242" t="s">
        <v>81</v>
      </c>
      <c r="C242" t="s">
        <v>5</v>
      </c>
      <c r="D242">
        <v>100</v>
      </c>
      <c r="E242" t="s">
        <v>63</v>
      </c>
      <c r="F242" s="1">
        <v>43069</v>
      </c>
      <c r="G242">
        <v>172.41</v>
      </c>
      <c r="H242">
        <v>17241</v>
      </c>
      <c r="I242">
        <v>11741</v>
      </c>
    </row>
    <row r="243" spans="1:9" x14ac:dyDescent="0.45">
      <c r="A243" t="s">
        <v>80</v>
      </c>
      <c r="B243" t="s">
        <v>81</v>
      </c>
      <c r="C243" t="s">
        <v>5</v>
      </c>
      <c r="D243">
        <v>100</v>
      </c>
      <c r="E243" t="s">
        <v>64</v>
      </c>
      <c r="F243" s="1">
        <v>43098</v>
      </c>
      <c r="G243">
        <v>171.89</v>
      </c>
      <c r="H243">
        <v>17189</v>
      </c>
      <c r="I243">
        <v>11689</v>
      </c>
    </row>
    <row r="244" spans="1:9" x14ac:dyDescent="0.45">
      <c r="A244" t="s">
        <v>80</v>
      </c>
      <c r="B244" t="s">
        <v>81</v>
      </c>
      <c r="C244" t="s">
        <v>5</v>
      </c>
      <c r="D244">
        <v>100</v>
      </c>
      <c r="E244" t="s">
        <v>65</v>
      </c>
      <c r="F244" s="1">
        <v>43131</v>
      </c>
      <c r="G244">
        <v>174.01</v>
      </c>
      <c r="H244">
        <v>17401</v>
      </c>
      <c r="I244">
        <v>11901</v>
      </c>
    </row>
    <row r="245" spans="1:9" x14ac:dyDescent="0.45">
      <c r="A245" t="s">
        <v>80</v>
      </c>
      <c r="B245" t="s">
        <v>81</v>
      </c>
      <c r="C245" t="s">
        <v>5</v>
      </c>
      <c r="D245">
        <v>100</v>
      </c>
      <c r="E245" t="s">
        <v>66</v>
      </c>
      <c r="F245" s="1">
        <v>43138</v>
      </c>
      <c r="G245">
        <v>161.47</v>
      </c>
      <c r="H245">
        <v>16147</v>
      </c>
      <c r="I245">
        <v>10647</v>
      </c>
    </row>
    <row r="246" spans="1:9" x14ac:dyDescent="0.45">
      <c r="A246" t="s">
        <v>80</v>
      </c>
      <c r="B246" t="s">
        <v>81</v>
      </c>
      <c r="C246" t="s">
        <v>67</v>
      </c>
      <c r="D246">
        <v>80</v>
      </c>
      <c r="E246" t="s">
        <v>6</v>
      </c>
      <c r="F246" s="1">
        <v>41333</v>
      </c>
      <c r="G246">
        <v>264</v>
      </c>
      <c r="H246">
        <v>21120</v>
      </c>
      <c r="I246">
        <v>-480</v>
      </c>
    </row>
    <row r="247" spans="1:9" x14ac:dyDescent="0.45">
      <c r="A247" t="s">
        <v>80</v>
      </c>
      <c r="B247" t="s">
        <v>81</v>
      </c>
      <c r="C247" t="s">
        <v>67</v>
      </c>
      <c r="D247">
        <v>80</v>
      </c>
      <c r="E247" t="s">
        <v>7</v>
      </c>
      <c r="F247" s="1">
        <v>41361</v>
      </c>
      <c r="G247">
        <v>265.76</v>
      </c>
      <c r="H247">
        <v>21260.799999999999</v>
      </c>
      <c r="I247">
        <v>-339.2</v>
      </c>
    </row>
    <row r="248" spans="1:9" x14ac:dyDescent="0.45">
      <c r="A248" t="s">
        <v>80</v>
      </c>
      <c r="B248" t="s">
        <v>81</v>
      </c>
      <c r="C248" t="s">
        <v>67</v>
      </c>
      <c r="D248">
        <v>80</v>
      </c>
      <c r="E248" t="s">
        <v>8</v>
      </c>
      <c r="F248" s="1">
        <v>41394</v>
      </c>
      <c r="G248">
        <v>263.07</v>
      </c>
      <c r="H248">
        <v>21045.599999999999</v>
      </c>
      <c r="I248">
        <v>-554.4</v>
      </c>
    </row>
    <row r="249" spans="1:9" x14ac:dyDescent="0.45">
      <c r="A249" t="s">
        <v>80</v>
      </c>
      <c r="B249" t="s">
        <v>81</v>
      </c>
      <c r="C249" t="s">
        <v>67</v>
      </c>
      <c r="D249">
        <v>80</v>
      </c>
      <c r="E249" t="s">
        <v>9</v>
      </c>
      <c r="F249" s="1">
        <v>41425</v>
      </c>
      <c r="G249">
        <v>262.73</v>
      </c>
      <c r="H249">
        <v>21018.400000000001</v>
      </c>
      <c r="I249">
        <v>-581.6</v>
      </c>
    </row>
    <row r="250" spans="1:9" x14ac:dyDescent="0.45">
      <c r="A250" t="s">
        <v>80</v>
      </c>
      <c r="B250" t="s">
        <v>81</v>
      </c>
      <c r="C250" t="s">
        <v>67</v>
      </c>
      <c r="D250">
        <v>80</v>
      </c>
      <c r="E250" t="s">
        <v>10</v>
      </c>
      <c r="F250" s="1">
        <v>41453</v>
      </c>
      <c r="G250">
        <v>274.10000000000002</v>
      </c>
      <c r="H250">
        <v>21928</v>
      </c>
      <c r="I250">
        <v>328</v>
      </c>
    </row>
    <row r="251" spans="1:9" x14ac:dyDescent="0.45">
      <c r="A251" t="s">
        <v>80</v>
      </c>
      <c r="B251" t="s">
        <v>81</v>
      </c>
      <c r="C251" t="s">
        <v>67</v>
      </c>
      <c r="D251">
        <v>80</v>
      </c>
      <c r="E251" t="s">
        <v>11</v>
      </c>
      <c r="F251" s="1">
        <v>41486</v>
      </c>
      <c r="G251">
        <v>298.98</v>
      </c>
      <c r="H251">
        <v>23918.400000000001</v>
      </c>
      <c r="I251">
        <v>2318.4</v>
      </c>
    </row>
    <row r="252" spans="1:9" x14ac:dyDescent="0.45">
      <c r="A252" t="s">
        <v>80</v>
      </c>
      <c r="B252" t="s">
        <v>81</v>
      </c>
      <c r="C252" t="s">
        <v>67</v>
      </c>
      <c r="D252">
        <v>80</v>
      </c>
      <c r="E252" t="s">
        <v>12</v>
      </c>
      <c r="F252" s="1">
        <v>41516</v>
      </c>
      <c r="G252">
        <v>291.14999999999998</v>
      </c>
      <c r="H252">
        <v>23292</v>
      </c>
      <c r="I252">
        <v>1692</v>
      </c>
    </row>
    <row r="253" spans="1:9" x14ac:dyDescent="0.45">
      <c r="A253" t="s">
        <v>80</v>
      </c>
      <c r="B253" t="s">
        <v>81</v>
      </c>
      <c r="C253" t="s">
        <v>67</v>
      </c>
      <c r="D253">
        <v>80</v>
      </c>
      <c r="E253" t="s">
        <v>13</v>
      </c>
      <c r="F253" s="1">
        <v>41547</v>
      </c>
      <c r="G253">
        <v>304.73</v>
      </c>
      <c r="H253">
        <v>24378.400000000001</v>
      </c>
      <c r="I253">
        <v>2778.4</v>
      </c>
    </row>
    <row r="254" spans="1:9" x14ac:dyDescent="0.45">
      <c r="A254" t="s">
        <v>80</v>
      </c>
      <c r="B254" t="s">
        <v>81</v>
      </c>
      <c r="C254" t="s">
        <v>67</v>
      </c>
      <c r="D254">
        <v>80</v>
      </c>
      <c r="E254" t="s">
        <v>14</v>
      </c>
      <c r="F254" s="1">
        <v>41578</v>
      </c>
      <c r="G254">
        <v>325.97000000000003</v>
      </c>
      <c r="H254">
        <v>26077.599999999999</v>
      </c>
      <c r="I254">
        <v>4477.6000000000004</v>
      </c>
    </row>
    <row r="255" spans="1:9" x14ac:dyDescent="0.45">
      <c r="A255" t="s">
        <v>80</v>
      </c>
      <c r="B255" t="s">
        <v>81</v>
      </c>
      <c r="C255" t="s">
        <v>67</v>
      </c>
      <c r="D255">
        <v>80</v>
      </c>
      <c r="E255" t="s">
        <v>15</v>
      </c>
      <c r="F255" s="1">
        <v>41607</v>
      </c>
      <c r="G255">
        <v>364.83</v>
      </c>
      <c r="H255">
        <v>29186.400000000001</v>
      </c>
      <c r="I255">
        <v>7586.4</v>
      </c>
    </row>
    <row r="256" spans="1:9" x14ac:dyDescent="0.45">
      <c r="A256" t="s">
        <v>80</v>
      </c>
      <c r="B256" t="s">
        <v>81</v>
      </c>
      <c r="C256" t="s">
        <v>67</v>
      </c>
      <c r="D256">
        <v>80</v>
      </c>
      <c r="E256" t="s">
        <v>16</v>
      </c>
      <c r="F256" s="1">
        <v>41639</v>
      </c>
      <c r="G256">
        <v>391.5</v>
      </c>
      <c r="H256">
        <v>31320</v>
      </c>
      <c r="I256">
        <v>9720</v>
      </c>
    </row>
    <row r="257" spans="1:9" x14ac:dyDescent="0.45">
      <c r="A257" t="s">
        <v>80</v>
      </c>
      <c r="B257" t="s">
        <v>81</v>
      </c>
      <c r="C257" t="s">
        <v>67</v>
      </c>
      <c r="D257">
        <v>80</v>
      </c>
      <c r="E257" t="s">
        <v>17</v>
      </c>
      <c r="F257" s="1">
        <v>41670</v>
      </c>
      <c r="G257">
        <v>394.86</v>
      </c>
      <c r="H257">
        <v>31588.799999999999</v>
      </c>
      <c r="I257">
        <v>9988.7999999999993</v>
      </c>
    </row>
    <row r="258" spans="1:9" x14ac:dyDescent="0.45">
      <c r="A258" t="s">
        <v>80</v>
      </c>
      <c r="B258" t="s">
        <v>81</v>
      </c>
      <c r="C258" t="s">
        <v>67</v>
      </c>
      <c r="D258">
        <v>80</v>
      </c>
      <c r="E258" t="s">
        <v>18</v>
      </c>
      <c r="F258" s="1">
        <v>41698</v>
      </c>
      <c r="G258">
        <v>354.34</v>
      </c>
      <c r="H258">
        <v>28347.200000000001</v>
      </c>
      <c r="I258">
        <v>6747.2</v>
      </c>
    </row>
    <row r="259" spans="1:9" x14ac:dyDescent="0.45">
      <c r="A259" t="s">
        <v>80</v>
      </c>
      <c r="B259" t="s">
        <v>81</v>
      </c>
      <c r="C259" t="s">
        <v>67</v>
      </c>
      <c r="D259">
        <v>80</v>
      </c>
      <c r="E259" t="s">
        <v>19</v>
      </c>
      <c r="F259" s="1">
        <v>41729</v>
      </c>
      <c r="G259">
        <v>362.63</v>
      </c>
      <c r="H259">
        <v>29010.400000000001</v>
      </c>
      <c r="I259">
        <v>7410.4</v>
      </c>
    </row>
    <row r="260" spans="1:9" x14ac:dyDescent="0.45">
      <c r="A260" t="s">
        <v>80</v>
      </c>
      <c r="B260" t="s">
        <v>81</v>
      </c>
      <c r="C260" t="s">
        <v>67</v>
      </c>
      <c r="D260">
        <v>80</v>
      </c>
      <c r="E260" t="s">
        <v>20</v>
      </c>
      <c r="F260" s="1">
        <v>41759</v>
      </c>
      <c r="G260">
        <v>321.64</v>
      </c>
      <c r="H260">
        <v>25731.200000000001</v>
      </c>
      <c r="I260">
        <v>4131.2</v>
      </c>
    </row>
    <row r="261" spans="1:9" x14ac:dyDescent="0.45">
      <c r="A261" t="s">
        <v>80</v>
      </c>
      <c r="B261" t="s">
        <v>81</v>
      </c>
      <c r="C261" t="s">
        <v>67</v>
      </c>
      <c r="D261">
        <v>80</v>
      </c>
      <c r="E261" t="s">
        <v>21</v>
      </c>
      <c r="F261" s="1">
        <v>41789</v>
      </c>
      <c r="G261">
        <v>302.95</v>
      </c>
      <c r="H261">
        <v>24236</v>
      </c>
      <c r="I261">
        <v>2636</v>
      </c>
    </row>
    <row r="262" spans="1:9" x14ac:dyDescent="0.45">
      <c r="A262" t="s">
        <v>80</v>
      </c>
      <c r="B262" t="s">
        <v>81</v>
      </c>
      <c r="C262" t="s">
        <v>67</v>
      </c>
      <c r="D262">
        <v>80</v>
      </c>
      <c r="E262" t="s">
        <v>22</v>
      </c>
      <c r="F262" s="1">
        <v>41820</v>
      </c>
      <c r="G262">
        <v>324.57</v>
      </c>
      <c r="H262">
        <v>25965.599999999999</v>
      </c>
      <c r="I262">
        <v>4365.6000000000004</v>
      </c>
    </row>
    <row r="263" spans="1:9" x14ac:dyDescent="0.45">
      <c r="A263" t="s">
        <v>80</v>
      </c>
      <c r="B263" t="s">
        <v>81</v>
      </c>
      <c r="C263" t="s">
        <v>67</v>
      </c>
      <c r="D263">
        <v>80</v>
      </c>
      <c r="E263" t="s">
        <v>23</v>
      </c>
      <c r="F263" s="1">
        <v>41851</v>
      </c>
      <c r="G263">
        <v>339.92</v>
      </c>
      <c r="H263">
        <v>27193.599999999999</v>
      </c>
      <c r="I263">
        <v>5593.6</v>
      </c>
    </row>
    <row r="264" spans="1:9" x14ac:dyDescent="0.45">
      <c r="A264" t="s">
        <v>80</v>
      </c>
      <c r="B264" t="s">
        <v>81</v>
      </c>
      <c r="C264" t="s">
        <v>67</v>
      </c>
      <c r="D264">
        <v>80</v>
      </c>
      <c r="E264" t="s">
        <v>24</v>
      </c>
      <c r="F264" s="1">
        <v>41880</v>
      </c>
      <c r="G264">
        <v>327.33</v>
      </c>
      <c r="H264">
        <v>26186.400000000001</v>
      </c>
      <c r="I264">
        <v>4586.3999999999996</v>
      </c>
    </row>
    <row r="265" spans="1:9" x14ac:dyDescent="0.45">
      <c r="A265" t="s">
        <v>80</v>
      </c>
      <c r="B265" t="s">
        <v>81</v>
      </c>
      <c r="C265" t="s">
        <v>67</v>
      </c>
      <c r="D265">
        <v>80</v>
      </c>
      <c r="E265" t="s">
        <v>25</v>
      </c>
      <c r="F265" s="1">
        <v>41912</v>
      </c>
      <c r="G265">
        <v>330.31</v>
      </c>
      <c r="H265">
        <v>26424.799999999999</v>
      </c>
      <c r="I265">
        <v>4824.8</v>
      </c>
    </row>
    <row r="266" spans="1:9" x14ac:dyDescent="0.45">
      <c r="A266" t="s">
        <v>80</v>
      </c>
      <c r="B266" t="s">
        <v>81</v>
      </c>
      <c r="C266" t="s">
        <v>67</v>
      </c>
      <c r="D266">
        <v>80</v>
      </c>
      <c r="E266" t="s">
        <v>26</v>
      </c>
      <c r="F266" s="1">
        <v>41943</v>
      </c>
      <c r="G266">
        <v>308.41000000000003</v>
      </c>
      <c r="H266">
        <v>24672.799999999999</v>
      </c>
      <c r="I266">
        <v>3072.8</v>
      </c>
    </row>
    <row r="267" spans="1:9" x14ac:dyDescent="0.45">
      <c r="A267" t="s">
        <v>80</v>
      </c>
      <c r="B267" t="s">
        <v>81</v>
      </c>
      <c r="C267" t="s">
        <v>67</v>
      </c>
      <c r="D267">
        <v>80</v>
      </c>
      <c r="E267" t="s">
        <v>27</v>
      </c>
      <c r="F267" s="1">
        <v>41971</v>
      </c>
      <c r="G267">
        <v>318.69</v>
      </c>
      <c r="H267">
        <v>25495.200000000001</v>
      </c>
      <c r="I267">
        <v>3895.2</v>
      </c>
    </row>
    <row r="268" spans="1:9" x14ac:dyDescent="0.45">
      <c r="A268" t="s">
        <v>80</v>
      </c>
      <c r="B268" t="s">
        <v>81</v>
      </c>
      <c r="C268" t="s">
        <v>67</v>
      </c>
      <c r="D268">
        <v>80</v>
      </c>
      <c r="E268" t="s">
        <v>28</v>
      </c>
      <c r="F268" s="1">
        <v>42004</v>
      </c>
      <c r="G268">
        <v>308.79000000000002</v>
      </c>
      <c r="H268">
        <v>24703.200000000001</v>
      </c>
      <c r="I268">
        <v>3103.2</v>
      </c>
    </row>
    <row r="269" spans="1:9" x14ac:dyDescent="0.45">
      <c r="A269" t="s">
        <v>80</v>
      </c>
      <c r="B269" t="s">
        <v>81</v>
      </c>
      <c r="C269" t="s">
        <v>67</v>
      </c>
      <c r="D269">
        <v>80</v>
      </c>
      <c r="E269" t="s">
        <v>29</v>
      </c>
      <c r="F269" s="1">
        <v>42034</v>
      </c>
      <c r="G269">
        <v>302.75</v>
      </c>
      <c r="H269">
        <v>24220</v>
      </c>
      <c r="I269">
        <v>2620</v>
      </c>
    </row>
    <row r="270" spans="1:9" x14ac:dyDescent="0.45">
      <c r="A270" t="s">
        <v>80</v>
      </c>
      <c r="B270" t="s">
        <v>81</v>
      </c>
      <c r="C270" t="s">
        <v>67</v>
      </c>
      <c r="D270">
        <v>80</v>
      </c>
      <c r="E270" t="s">
        <v>30</v>
      </c>
      <c r="F270" s="1">
        <v>42062</v>
      </c>
      <c r="G270">
        <v>375.74</v>
      </c>
      <c r="H270">
        <v>30059.200000000001</v>
      </c>
      <c r="I270">
        <v>8459.2000000000007</v>
      </c>
    </row>
    <row r="271" spans="1:9" x14ac:dyDescent="0.45">
      <c r="A271" t="s">
        <v>80</v>
      </c>
      <c r="B271" t="s">
        <v>81</v>
      </c>
      <c r="C271" t="s">
        <v>67</v>
      </c>
      <c r="D271">
        <v>80</v>
      </c>
      <c r="E271" t="s">
        <v>31</v>
      </c>
      <c r="F271" s="1">
        <v>42094</v>
      </c>
      <c r="G271">
        <v>375.32</v>
      </c>
      <c r="H271">
        <v>30025.599999999999</v>
      </c>
      <c r="I271">
        <v>8425.6</v>
      </c>
    </row>
    <row r="272" spans="1:9" x14ac:dyDescent="0.45">
      <c r="A272" t="s">
        <v>80</v>
      </c>
      <c r="B272" t="s">
        <v>81</v>
      </c>
      <c r="C272" t="s">
        <v>67</v>
      </c>
      <c r="D272">
        <v>80</v>
      </c>
      <c r="E272" t="s">
        <v>32</v>
      </c>
      <c r="F272" s="1">
        <v>42124</v>
      </c>
      <c r="G272">
        <v>394.21</v>
      </c>
      <c r="H272">
        <v>31536.799999999999</v>
      </c>
      <c r="I272">
        <v>9936.7999999999993</v>
      </c>
    </row>
    <row r="273" spans="1:9" x14ac:dyDescent="0.45">
      <c r="A273" t="s">
        <v>80</v>
      </c>
      <c r="B273" t="s">
        <v>81</v>
      </c>
      <c r="C273" t="s">
        <v>67</v>
      </c>
      <c r="D273">
        <v>80</v>
      </c>
      <c r="E273" t="s">
        <v>33</v>
      </c>
      <c r="F273" s="1">
        <v>42153</v>
      </c>
      <c r="G273">
        <v>426.93</v>
      </c>
      <c r="H273">
        <v>34154.400000000001</v>
      </c>
      <c r="I273">
        <v>12554.4</v>
      </c>
    </row>
    <row r="274" spans="1:9" x14ac:dyDescent="0.45">
      <c r="A274" t="s">
        <v>80</v>
      </c>
      <c r="B274" t="s">
        <v>81</v>
      </c>
      <c r="C274" t="s">
        <v>67</v>
      </c>
      <c r="D274">
        <v>80</v>
      </c>
      <c r="E274" t="s">
        <v>34</v>
      </c>
      <c r="F274" s="1">
        <v>42185</v>
      </c>
      <c r="G274">
        <v>432.6</v>
      </c>
      <c r="H274">
        <v>34608</v>
      </c>
      <c r="I274">
        <v>13008</v>
      </c>
    </row>
    <row r="275" spans="1:9" x14ac:dyDescent="0.45">
      <c r="A275" t="s">
        <v>80</v>
      </c>
      <c r="B275" t="s">
        <v>81</v>
      </c>
      <c r="C275" t="s">
        <v>67</v>
      </c>
      <c r="D275">
        <v>80</v>
      </c>
      <c r="E275" t="s">
        <v>35</v>
      </c>
      <c r="F275" s="1">
        <v>42216</v>
      </c>
      <c r="G275">
        <v>478.71</v>
      </c>
      <c r="H275">
        <v>38296.800000000003</v>
      </c>
      <c r="I275">
        <v>16696.8</v>
      </c>
    </row>
    <row r="276" spans="1:9" x14ac:dyDescent="0.45">
      <c r="A276" t="s">
        <v>80</v>
      </c>
      <c r="B276" t="s">
        <v>81</v>
      </c>
      <c r="C276" t="s">
        <v>67</v>
      </c>
      <c r="D276">
        <v>80</v>
      </c>
      <c r="E276" t="s">
        <v>36</v>
      </c>
      <c r="F276" s="1">
        <v>42247</v>
      </c>
      <c r="G276">
        <v>518.46</v>
      </c>
      <c r="H276">
        <v>41476.800000000003</v>
      </c>
      <c r="I276">
        <v>19876.8</v>
      </c>
    </row>
    <row r="277" spans="1:9" x14ac:dyDescent="0.45">
      <c r="A277" t="s">
        <v>80</v>
      </c>
      <c r="B277" t="s">
        <v>81</v>
      </c>
      <c r="C277" t="s">
        <v>67</v>
      </c>
      <c r="D277">
        <v>80</v>
      </c>
      <c r="E277" t="s">
        <v>37</v>
      </c>
      <c r="F277" s="1">
        <v>42277</v>
      </c>
      <c r="G277">
        <v>520.96</v>
      </c>
      <c r="H277">
        <v>41676.800000000003</v>
      </c>
      <c r="I277">
        <v>20076.8</v>
      </c>
    </row>
    <row r="278" spans="1:9" x14ac:dyDescent="0.45">
      <c r="A278" t="s">
        <v>80</v>
      </c>
      <c r="B278" t="s">
        <v>81</v>
      </c>
      <c r="C278" t="s">
        <v>67</v>
      </c>
      <c r="D278">
        <v>80</v>
      </c>
      <c r="E278" t="s">
        <v>38</v>
      </c>
      <c r="F278" s="1">
        <v>42307</v>
      </c>
      <c r="G278">
        <v>566.74</v>
      </c>
      <c r="H278">
        <v>45339.199999999997</v>
      </c>
      <c r="I278">
        <v>23739.200000000001</v>
      </c>
    </row>
    <row r="279" spans="1:9" x14ac:dyDescent="0.45">
      <c r="A279" t="s">
        <v>80</v>
      </c>
      <c r="B279" t="s">
        <v>81</v>
      </c>
      <c r="C279" t="s">
        <v>67</v>
      </c>
      <c r="D279">
        <v>80</v>
      </c>
      <c r="E279" t="s">
        <v>39</v>
      </c>
      <c r="F279" s="1">
        <v>42338</v>
      </c>
      <c r="G279">
        <v>657.7</v>
      </c>
      <c r="H279">
        <v>52616</v>
      </c>
      <c r="I279">
        <v>31016</v>
      </c>
    </row>
    <row r="280" spans="1:9" x14ac:dyDescent="0.45">
      <c r="A280" t="s">
        <v>80</v>
      </c>
      <c r="B280" t="s">
        <v>81</v>
      </c>
      <c r="C280" t="s">
        <v>67</v>
      </c>
      <c r="D280">
        <v>80</v>
      </c>
      <c r="E280" t="s">
        <v>40</v>
      </c>
      <c r="F280" s="1">
        <v>42369</v>
      </c>
      <c r="G280">
        <v>669.26</v>
      </c>
      <c r="H280">
        <v>53540.800000000003</v>
      </c>
      <c r="I280">
        <v>31940.799999999999</v>
      </c>
    </row>
    <row r="281" spans="1:9" x14ac:dyDescent="0.45">
      <c r="A281" t="s">
        <v>80</v>
      </c>
      <c r="B281" t="s">
        <v>81</v>
      </c>
      <c r="C281" t="s">
        <v>67</v>
      </c>
      <c r="D281">
        <v>80</v>
      </c>
      <c r="E281" t="s">
        <v>41</v>
      </c>
      <c r="F281" s="1">
        <v>42398</v>
      </c>
      <c r="G281">
        <v>601.05999999999995</v>
      </c>
      <c r="H281">
        <v>48084.800000000003</v>
      </c>
      <c r="I281">
        <v>26484.799999999999</v>
      </c>
    </row>
    <row r="282" spans="1:9" x14ac:dyDescent="0.45">
      <c r="A282" t="s">
        <v>80</v>
      </c>
      <c r="B282" t="s">
        <v>81</v>
      </c>
      <c r="C282" t="s">
        <v>67</v>
      </c>
      <c r="D282">
        <v>80</v>
      </c>
      <c r="E282" t="s">
        <v>42</v>
      </c>
      <c r="F282" s="1">
        <v>42429</v>
      </c>
      <c r="G282">
        <v>530.62</v>
      </c>
      <c r="H282">
        <v>42449.599999999999</v>
      </c>
      <c r="I282">
        <v>20849.599999999999</v>
      </c>
    </row>
    <row r="283" spans="1:9" x14ac:dyDescent="0.45">
      <c r="A283" t="s">
        <v>80</v>
      </c>
      <c r="B283" t="s">
        <v>81</v>
      </c>
      <c r="C283" t="s">
        <v>67</v>
      </c>
      <c r="D283">
        <v>80</v>
      </c>
      <c r="E283" t="s">
        <v>43</v>
      </c>
      <c r="F283" s="1">
        <v>42460</v>
      </c>
      <c r="G283">
        <v>572.37</v>
      </c>
      <c r="H283">
        <v>45789.599999999999</v>
      </c>
      <c r="I283">
        <v>24189.599999999999</v>
      </c>
    </row>
    <row r="284" spans="1:9" x14ac:dyDescent="0.45">
      <c r="A284" t="s">
        <v>80</v>
      </c>
      <c r="B284" t="s">
        <v>81</v>
      </c>
      <c r="C284" t="s">
        <v>67</v>
      </c>
      <c r="D284">
        <v>80</v>
      </c>
      <c r="E284" t="s">
        <v>44</v>
      </c>
      <c r="F284" s="1">
        <v>42489</v>
      </c>
      <c r="G284">
        <v>613.59</v>
      </c>
      <c r="H284">
        <v>49087.199999999997</v>
      </c>
      <c r="I284">
        <v>27487.200000000001</v>
      </c>
    </row>
    <row r="285" spans="1:9" x14ac:dyDescent="0.45">
      <c r="A285" t="s">
        <v>80</v>
      </c>
      <c r="B285" t="s">
        <v>81</v>
      </c>
      <c r="C285" t="s">
        <v>67</v>
      </c>
      <c r="D285">
        <v>80</v>
      </c>
      <c r="E285" t="s">
        <v>45</v>
      </c>
      <c r="F285" s="1">
        <v>42521</v>
      </c>
      <c r="G285">
        <v>697.47</v>
      </c>
      <c r="H285">
        <v>55797.599999999999</v>
      </c>
      <c r="I285">
        <v>34197.599999999999</v>
      </c>
    </row>
    <row r="286" spans="1:9" x14ac:dyDescent="0.45">
      <c r="A286" t="s">
        <v>80</v>
      </c>
      <c r="B286" t="s">
        <v>81</v>
      </c>
      <c r="C286" t="s">
        <v>67</v>
      </c>
      <c r="D286">
        <v>80</v>
      </c>
      <c r="E286" t="s">
        <v>46</v>
      </c>
      <c r="F286" s="1">
        <v>42551</v>
      </c>
      <c r="G286">
        <v>716.39</v>
      </c>
      <c r="H286">
        <v>57311.199999999997</v>
      </c>
      <c r="I286">
        <v>35711.199999999997</v>
      </c>
    </row>
    <row r="287" spans="1:9" x14ac:dyDescent="0.45">
      <c r="A287" t="s">
        <v>80</v>
      </c>
      <c r="B287" t="s">
        <v>81</v>
      </c>
      <c r="C287" t="s">
        <v>67</v>
      </c>
      <c r="D287">
        <v>80</v>
      </c>
      <c r="E287" t="s">
        <v>47</v>
      </c>
      <c r="F287" s="1">
        <v>42580</v>
      </c>
      <c r="G287">
        <v>741.47</v>
      </c>
      <c r="H287">
        <v>59317.599999999999</v>
      </c>
      <c r="I287">
        <v>37717.599999999999</v>
      </c>
    </row>
    <row r="288" spans="1:9" x14ac:dyDescent="0.45">
      <c r="A288" t="s">
        <v>80</v>
      </c>
      <c r="B288" t="s">
        <v>81</v>
      </c>
      <c r="C288" t="s">
        <v>67</v>
      </c>
      <c r="D288">
        <v>80</v>
      </c>
      <c r="E288" t="s">
        <v>48</v>
      </c>
      <c r="F288" s="1">
        <v>42613</v>
      </c>
      <c r="G288">
        <v>764.84</v>
      </c>
      <c r="H288">
        <v>61187.199999999997</v>
      </c>
      <c r="I288">
        <v>39587.199999999997</v>
      </c>
    </row>
    <row r="289" spans="1:9" x14ac:dyDescent="0.45">
      <c r="A289" t="s">
        <v>80</v>
      </c>
      <c r="B289" t="s">
        <v>81</v>
      </c>
      <c r="C289" t="s">
        <v>67</v>
      </c>
      <c r="D289">
        <v>80</v>
      </c>
      <c r="E289" t="s">
        <v>49</v>
      </c>
      <c r="F289" s="1">
        <v>42643</v>
      </c>
      <c r="G289">
        <v>788.97</v>
      </c>
      <c r="H289">
        <v>63117.599999999999</v>
      </c>
      <c r="I289">
        <v>41517.599999999999</v>
      </c>
    </row>
    <row r="290" spans="1:9" x14ac:dyDescent="0.45">
      <c r="A290" t="s">
        <v>80</v>
      </c>
      <c r="B290" t="s">
        <v>81</v>
      </c>
      <c r="C290" t="s">
        <v>67</v>
      </c>
      <c r="D290">
        <v>80</v>
      </c>
      <c r="E290" t="s">
        <v>50</v>
      </c>
      <c r="F290" s="1">
        <v>42674</v>
      </c>
      <c r="G290">
        <v>824.44</v>
      </c>
      <c r="H290">
        <v>65955.199999999997</v>
      </c>
      <c r="I290">
        <v>44355.199999999997</v>
      </c>
    </row>
    <row r="291" spans="1:9" x14ac:dyDescent="0.45">
      <c r="A291" t="s">
        <v>80</v>
      </c>
      <c r="B291" t="s">
        <v>81</v>
      </c>
      <c r="C291" t="s">
        <v>67</v>
      </c>
      <c r="D291">
        <v>80</v>
      </c>
      <c r="E291" t="s">
        <v>51</v>
      </c>
      <c r="F291" s="1">
        <v>42704</v>
      </c>
      <c r="G291">
        <v>763.34</v>
      </c>
      <c r="H291">
        <v>61067.199999999997</v>
      </c>
      <c r="I291">
        <v>39467.199999999997</v>
      </c>
    </row>
    <row r="292" spans="1:9" x14ac:dyDescent="0.45">
      <c r="A292" t="s">
        <v>80</v>
      </c>
      <c r="B292" t="s">
        <v>81</v>
      </c>
      <c r="C292" t="s">
        <v>67</v>
      </c>
      <c r="D292">
        <v>80</v>
      </c>
      <c r="E292" t="s">
        <v>52</v>
      </c>
      <c r="F292" s="1">
        <v>42734</v>
      </c>
      <c r="G292">
        <v>763.33</v>
      </c>
      <c r="H292">
        <v>61066.400000000001</v>
      </c>
      <c r="I292">
        <v>39466.400000000001</v>
      </c>
    </row>
    <row r="293" spans="1:9" x14ac:dyDescent="0.45">
      <c r="A293" t="s">
        <v>80</v>
      </c>
      <c r="B293" t="s">
        <v>81</v>
      </c>
      <c r="C293" t="s">
        <v>67</v>
      </c>
      <c r="D293">
        <v>80</v>
      </c>
      <c r="E293" t="s">
        <v>53</v>
      </c>
      <c r="F293" s="1">
        <v>42766</v>
      </c>
      <c r="G293">
        <v>807.5</v>
      </c>
      <c r="H293">
        <v>64600</v>
      </c>
      <c r="I293">
        <v>43000</v>
      </c>
    </row>
    <row r="294" spans="1:9" x14ac:dyDescent="0.45">
      <c r="A294" t="s">
        <v>80</v>
      </c>
      <c r="B294" t="s">
        <v>81</v>
      </c>
      <c r="C294" t="s">
        <v>67</v>
      </c>
      <c r="D294">
        <v>80</v>
      </c>
      <c r="E294" t="s">
        <v>54</v>
      </c>
      <c r="F294" s="1">
        <v>42794</v>
      </c>
      <c r="G294">
        <v>835.75</v>
      </c>
      <c r="H294">
        <v>66860</v>
      </c>
      <c r="I294">
        <v>45260</v>
      </c>
    </row>
    <row r="295" spans="1:9" x14ac:dyDescent="0.45">
      <c r="A295" t="s">
        <v>80</v>
      </c>
      <c r="B295" t="s">
        <v>81</v>
      </c>
      <c r="C295" t="s">
        <v>67</v>
      </c>
      <c r="D295">
        <v>80</v>
      </c>
      <c r="E295" t="s">
        <v>55</v>
      </c>
      <c r="F295" s="1">
        <v>42825</v>
      </c>
      <c r="G295">
        <v>854.24</v>
      </c>
      <c r="H295">
        <v>68339.199999999997</v>
      </c>
      <c r="I295">
        <v>46739.199999999997</v>
      </c>
    </row>
    <row r="296" spans="1:9" x14ac:dyDescent="0.45">
      <c r="A296" t="s">
        <v>80</v>
      </c>
      <c r="B296" t="s">
        <v>81</v>
      </c>
      <c r="C296" t="s">
        <v>67</v>
      </c>
      <c r="D296">
        <v>80</v>
      </c>
      <c r="E296" t="s">
        <v>56</v>
      </c>
      <c r="F296" s="1">
        <v>42853</v>
      </c>
      <c r="G296">
        <v>903.39</v>
      </c>
      <c r="H296">
        <v>72271.199999999997</v>
      </c>
      <c r="I296">
        <v>50671.199999999997</v>
      </c>
    </row>
    <row r="297" spans="1:9" x14ac:dyDescent="0.45">
      <c r="A297" t="s">
        <v>80</v>
      </c>
      <c r="B297" t="s">
        <v>81</v>
      </c>
      <c r="C297" t="s">
        <v>67</v>
      </c>
      <c r="D297">
        <v>80</v>
      </c>
      <c r="E297" t="s">
        <v>57</v>
      </c>
      <c r="F297" s="1">
        <v>42886</v>
      </c>
      <c r="G297">
        <v>961.72</v>
      </c>
      <c r="H297">
        <v>76937.600000000006</v>
      </c>
      <c r="I297">
        <v>55337.599999999999</v>
      </c>
    </row>
    <row r="298" spans="1:9" x14ac:dyDescent="0.45">
      <c r="A298" t="s">
        <v>80</v>
      </c>
      <c r="B298" t="s">
        <v>81</v>
      </c>
      <c r="C298" t="s">
        <v>67</v>
      </c>
      <c r="D298">
        <v>80</v>
      </c>
      <c r="E298" t="s">
        <v>58</v>
      </c>
      <c r="F298" s="1">
        <v>42916</v>
      </c>
      <c r="G298">
        <v>990.44</v>
      </c>
      <c r="H298">
        <v>79235.199999999997</v>
      </c>
      <c r="I298">
        <v>57635.199999999997</v>
      </c>
    </row>
    <row r="299" spans="1:9" x14ac:dyDescent="0.45">
      <c r="A299" t="s">
        <v>80</v>
      </c>
      <c r="B299" t="s">
        <v>81</v>
      </c>
      <c r="C299" t="s">
        <v>67</v>
      </c>
      <c r="D299">
        <v>80</v>
      </c>
      <c r="E299" t="s">
        <v>59</v>
      </c>
      <c r="F299" s="1">
        <v>42947</v>
      </c>
      <c r="G299">
        <v>1008.48</v>
      </c>
      <c r="H299">
        <v>80678.399999999994</v>
      </c>
      <c r="I299">
        <v>59078.400000000001</v>
      </c>
    </row>
    <row r="300" spans="1:9" x14ac:dyDescent="0.45">
      <c r="A300" t="s">
        <v>80</v>
      </c>
      <c r="B300" t="s">
        <v>81</v>
      </c>
      <c r="C300" t="s">
        <v>67</v>
      </c>
      <c r="D300">
        <v>80</v>
      </c>
      <c r="E300" t="s">
        <v>60</v>
      </c>
      <c r="F300" s="1">
        <v>42978</v>
      </c>
      <c r="G300">
        <v>971.27</v>
      </c>
      <c r="H300">
        <v>77701.600000000006</v>
      </c>
      <c r="I300">
        <v>56101.599999999999</v>
      </c>
    </row>
    <row r="301" spans="1:9" x14ac:dyDescent="0.45">
      <c r="A301" t="s">
        <v>80</v>
      </c>
      <c r="B301" t="s">
        <v>81</v>
      </c>
      <c r="C301" t="s">
        <v>67</v>
      </c>
      <c r="D301">
        <v>80</v>
      </c>
      <c r="E301" t="s">
        <v>61</v>
      </c>
      <c r="F301" s="1">
        <v>43007</v>
      </c>
      <c r="G301">
        <v>968.99</v>
      </c>
      <c r="H301">
        <v>77519.199999999997</v>
      </c>
      <c r="I301">
        <v>55919.199999999997</v>
      </c>
    </row>
    <row r="302" spans="1:9" x14ac:dyDescent="0.45">
      <c r="A302" t="s">
        <v>80</v>
      </c>
      <c r="B302" t="s">
        <v>81</v>
      </c>
      <c r="C302" t="s">
        <v>67</v>
      </c>
      <c r="D302">
        <v>80</v>
      </c>
      <c r="E302" t="s">
        <v>62</v>
      </c>
      <c r="F302" s="1">
        <v>43039</v>
      </c>
      <c r="G302">
        <v>1000.72</v>
      </c>
      <c r="H302">
        <v>80057.600000000006</v>
      </c>
      <c r="I302">
        <v>58457.599999999999</v>
      </c>
    </row>
    <row r="303" spans="1:9" x14ac:dyDescent="0.45">
      <c r="A303" t="s">
        <v>80</v>
      </c>
      <c r="B303" t="s">
        <v>81</v>
      </c>
      <c r="C303" t="s">
        <v>67</v>
      </c>
      <c r="D303">
        <v>80</v>
      </c>
      <c r="E303" t="s">
        <v>63</v>
      </c>
      <c r="F303" s="1">
        <v>43069</v>
      </c>
      <c r="G303">
        <v>1139.81</v>
      </c>
      <c r="H303">
        <v>91184.8</v>
      </c>
      <c r="I303">
        <v>69584.800000000003</v>
      </c>
    </row>
    <row r="304" spans="1:9" x14ac:dyDescent="0.45">
      <c r="A304" t="s">
        <v>80</v>
      </c>
      <c r="B304" t="s">
        <v>81</v>
      </c>
      <c r="C304" t="s">
        <v>67</v>
      </c>
      <c r="D304">
        <v>80</v>
      </c>
      <c r="E304" t="s">
        <v>64</v>
      </c>
      <c r="F304" s="1">
        <v>43098</v>
      </c>
      <c r="G304">
        <v>1168.8399999999999</v>
      </c>
      <c r="H304">
        <v>93507.199999999997</v>
      </c>
      <c r="I304">
        <v>71907.199999999997</v>
      </c>
    </row>
    <row r="305" spans="1:9" x14ac:dyDescent="0.45">
      <c r="A305" t="s">
        <v>80</v>
      </c>
      <c r="B305" t="s">
        <v>81</v>
      </c>
      <c r="C305" t="s">
        <v>67</v>
      </c>
      <c r="D305">
        <v>80</v>
      </c>
      <c r="E305" t="s">
        <v>65</v>
      </c>
      <c r="F305" s="1">
        <v>43131</v>
      </c>
      <c r="G305">
        <v>1309.01</v>
      </c>
      <c r="H305">
        <v>104720.8</v>
      </c>
      <c r="I305">
        <v>83120.800000000003</v>
      </c>
    </row>
    <row r="306" spans="1:9" x14ac:dyDescent="0.45">
      <c r="A306" t="s">
        <v>80</v>
      </c>
      <c r="B306" t="s">
        <v>81</v>
      </c>
      <c r="C306" t="s">
        <v>67</v>
      </c>
      <c r="D306">
        <v>80</v>
      </c>
      <c r="E306" t="s">
        <v>66</v>
      </c>
      <c r="F306" s="1">
        <v>43138</v>
      </c>
      <c r="G306">
        <v>1413.91</v>
      </c>
      <c r="H306">
        <v>113112.8</v>
      </c>
      <c r="I306">
        <v>91512.8</v>
      </c>
    </row>
    <row r="307" spans="1:9" x14ac:dyDescent="0.45">
      <c r="A307" t="s">
        <v>82</v>
      </c>
      <c r="B307" t="s">
        <v>83</v>
      </c>
      <c r="C307" t="s">
        <v>69</v>
      </c>
      <c r="D307">
        <v>200</v>
      </c>
      <c r="E307" t="s">
        <v>6</v>
      </c>
      <c r="F307" s="1">
        <v>41333</v>
      </c>
      <c r="G307">
        <v>200.1</v>
      </c>
      <c r="H307">
        <v>40020</v>
      </c>
      <c r="I307">
        <v>1020</v>
      </c>
    </row>
    <row r="308" spans="1:9" x14ac:dyDescent="0.45">
      <c r="A308" t="s">
        <v>82</v>
      </c>
      <c r="B308" t="s">
        <v>83</v>
      </c>
      <c r="C308" t="s">
        <v>69</v>
      </c>
      <c r="D308">
        <v>200</v>
      </c>
      <c r="E308" t="s">
        <v>7</v>
      </c>
      <c r="F308" s="1">
        <v>41361</v>
      </c>
      <c r="G308">
        <v>210.98</v>
      </c>
      <c r="H308">
        <v>42196</v>
      </c>
      <c r="I308">
        <v>3196</v>
      </c>
    </row>
    <row r="309" spans="1:9" x14ac:dyDescent="0.45">
      <c r="A309" t="s">
        <v>82</v>
      </c>
      <c r="B309" t="s">
        <v>83</v>
      </c>
      <c r="C309" t="s">
        <v>69</v>
      </c>
      <c r="D309">
        <v>200</v>
      </c>
      <c r="E309" t="s">
        <v>8</v>
      </c>
      <c r="F309" s="1">
        <v>41394</v>
      </c>
      <c r="G309">
        <v>204.73</v>
      </c>
      <c r="H309">
        <v>40946</v>
      </c>
      <c r="I309">
        <v>1946</v>
      </c>
    </row>
    <row r="310" spans="1:9" x14ac:dyDescent="0.45">
      <c r="A310" t="s">
        <v>82</v>
      </c>
      <c r="B310" t="s">
        <v>83</v>
      </c>
      <c r="C310" t="s">
        <v>69</v>
      </c>
      <c r="D310">
        <v>200</v>
      </c>
      <c r="E310" t="s">
        <v>9</v>
      </c>
      <c r="F310" s="1">
        <v>41425</v>
      </c>
      <c r="G310">
        <v>205.26</v>
      </c>
      <c r="H310">
        <v>41052</v>
      </c>
      <c r="I310">
        <v>2052</v>
      </c>
    </row>
    <row r="311" spans="1:9" x14ac:dyDescent="0.45">
      <c r="A311" t="s">
        <v>82</v>
      </c>
      <c r="B311" t="s">
        <v>83</v>
      </c>
      <c r="C311" t="s">
        <v>69</v>
      </c>
      <c r="D311">
        <v>200</v>
      </c>
      <c r="E311" t="s">
        <v>10</v>
      </c>
      <c r="F311" s="1">
        <v>41453</v>
      </c>
      <c r="G311">
        <v>200.85</v>
      </c>
      <c r="H311">
        <v>40170</v>
      </c>
      <c r="I311">
        <v>1170</v>
      </c>
    </row>
    <row r="312" spans="1:9" x14ac:dyDescent="0.45">
      <c r="A312" t="s">
        <v>82</v>
      </c>
      <c r="B312" t="s">
        <v>83</v>
      </c>
      <c r="C312" t="s">
        <v>69</v>
      </c>
      <c r="D312">
        <v>200</v>
      </c>
      <c r="E312" t="s">
        <v>11</v>
      </c>
      <c r="F312" s="1">
        <v>41486</v>
      </c>
      <c r="G312">
        <v>194.35</v>
      </c>
      <c r="H312">
        <v>38870</v>
      </c>
      <c r="I312">
        <v>-130</v>
      </c>
    </row>
    <row r="313" spans="1:9" x14ac:dyDescent="0.45">
      <c r="A313" t="s">
        <v>82</v>
      </c>
      <c r="B313" t="s">
        <v>83</v>
      </c>
      <c r="C313" t="s">
        <v>69</v>
      </c>
      <c r="D313">
        <v>200</v>
      </c>
      <c r="E313" t="s">
        <v>12</v>
      </c>
      <c r="F313" s="1">
        <v>41516</v>
      </c>
      <c r="G313">
        <v>187.13</v>
      </c>
      <c r="H313">
        <v>37426</v>
      </c>
      <c r="I313">
        <v>-1574</v>
      </c>
    </row>
    <row r="314" spans="1:9" x14ac:dyDescent="0.45">
      <c r="A314" t="s">
        <v>82</v>
      </c>
      <c r="B314" t="s">
        <v>83</v>
      </c>
      <c r="C314" t="s">
        <v>69</v>
      </c>
      <c r="D314">
        <v>200</v>
      </c>
      <c r="E314" t="s">
        <v>13</v>
      </c>
      <c r="F314" s="1">
        <v>41547</v>
      </c>
      <c r="G314">
        <v>188.77</v>
      </c>
      <c r="H314">
        <v>37754</v>
      </c>
      <c r="I314">
        <v>-1246</v>
      </c>
    </row>
    <row r="315" spans="1:9" x14ac:dyDescent="0.45">
      <c r="A315" t="s">
        <v>82</v>
      </c>
      <c r="B315" t="s">
        <v>83</v>
      </c>
      <c r="C315" t="s">
        <v>69</v>
      </c>
      <c r="D315">
        <v>200</v>
      </c>
      <c r="E315" t="s">
        <v>14</v>
      </c>
      <c r="F315" s="1">
        <v>41578</v>
      </c>
      <c r="G315">
        <v>180.71</v>
      </c>
      <c r="H315">
        <v>36142</v>
      </c>
      <c r="I315">
        <v>-2858</v>
      </c>
    </row>
    <row r="316" spans="1:9" x14ac:dyDescent="0.45">
      <c r="A316" t="s">
        <v>82</v>
      </c>
      <c r="B316" t="s">
        <v>83</v>
      </c>
      <c r="C316" t="s">
        <v>69</v>
      </c>
      <c r="D316">
        <v>200</v>
      </c>
      <c r="E316" t="s">
        <v>15</v>
      </c>
      <c r="F316" s="1">
        <v>41607</v>
      </c>
      <c r="G316">
        <v>181.33</v>
      </c>
      <c r="H316">
        <v>36266</v>
      </c>
      <c r="I316">
        <v>-2734</v>
      </c>
    </row>
    <row r="317" spans="1:9" x14ac:dyDescent="0.45">
      <c r="A317" t="s">
        <v>82</v>
      </c>
      <c r="B317" t="s">
        <v>83</v>
      </c>
      <c r="C317" t="s">
        <v>69</v>
      </c>
      <c r="D317">
        <v>200</v>
      </c>
      <c r="E317" t="s">
        <v>16</v>
      </c>
      <c r="F317" s="1">
        <v>41639</v>
      </c>
      <c r="G317">
        <v>179.11</v>
      </c>
      <c r="H317">
        <v>35822</v>
      </c>
      <c r="I317">
        <v>-3178</v>
      </c>
    </row>
    <row r="318" spans="1:9" x14ac:dyDescent="0.45">
      <c r="A318" t="s">
        <v>82</v>
      </c>
      <c r="B318" t="s">
        <v>83</v>
      </c>
      <c r="C318" t="s">
        <v>69</v>
      </c>
      <c r="D318">
        <v>200</v>
      </c>
      <c r="E318" t="s">
        <v>17</v>
      </c>
      <c r="F318" s="1">
        <v>41670</v>
      </c>
      <c r="G318">
        <v>184.07</v>
      </c>
      <c r="H318">
        <v>36814</v>
      </c>
      <c r="I318">
        <v>-2186</v>
      </c>
    </row>
    <row r="319" spans="1:9" x14ac:dyDescent="0.45">
      <c r="A319" t="s">
        <v>82</v>
      </c>
      <c r="B319" t="s">
        <v>83</v>
      </c>
      <c r="C319" t="s">
        <v>69</v>
      </c>
      <c r="D319">
        <v>200</v>
      </c>
      <c r="E319" t="s">
        <v>18</v>
      </c>
      <c r="F319" s="1">
        <v>41698</v>
      </c>
      <c r="G319">
        <v>180.47</v>
      </c>
      <c r="H319">
        <v>36094</v>
      </c>
      <c r="I319">
        <v>-2906</v>
      </c>
    </row>
    <row r="320" spans="1:9" x14ac:dyDescent="0.45">
      <c r="A320" t="s">
        <v>82</v>
      </c>
      <c r="B320" t="s">
        <v>83</v>
      </c>
      <c r="C320" t="s">
        <v>69</v>
      </c>
      <c r="D320">
        <v>200</v>
      </c>
      <c r="E320" t="s">
        <v>19</v>
      </c>
      <c r="F320" s="1">
        <v>41729</v>
      </c>
      <c r="G320">
        <v>187.58</v>
      </c>
      <c r="H320">
        <v>37516</v>
      </c>
      <c r="I320">
        <v>-1484</v>
      </c>
    </row>
    <row r="321" spans="1:9" x14ac:dyDescent="0.45">
      <c r="A321" t="s">
        <v>82</v>
      </c>
      <c r="B321" t="s">
        <v>83</v>
      </c>
      <c r="C321" t="s">
        <v>69</v>
      </c>
      <c r="D321">
        <v>200</v>
      </c>
      <c r="E321" t="s">
        <v>20</v>
      </c>
      <c r="F321" s="1">
        <v>41759</v>
      </c>
      <c r="G321">
        <v>193.8</v>
      </c>
      <c r="H321">
        <v>38760</v>
      </c>
      <c r="I321">
        <v>-240</v>
      </c>
    </row>
    <row r="322" spans="1:9" x14ac:dyDescent="0.45">
      <c r="A322" t="s">
        <v>82</v>
      </c>
      <c r="B322" t="s">
        <v>83</v>
      </c>
      <c r="C322" t="s">
        <v>69</v>
      </c>
      <c r="D322">
        <v>200</v>
      </c>
      <c r="E322" t="s">
        <v>21</v>
      </c>
      <c r="F322" s="1">
        <v>41789</v>
      </c>
      <c r="G322">
        <v>187.97</v>
      </c>
      <c r="H322">
        <v>37594</v>
      </c>
      <c r="I322">
        <v>-1406</v>
      </c>
    </row>
    <row r="323" spans="1:9" x14ac:dyDescent="0.45">
      <c r="A323" t="s">
        <v>82</v>
      </c>
      <c r="B323" t="s">
        <v>83</v>
      </c>
      <c r="C323" t="s">
        <v>69</v>
      </c>
      <c r="D323">
        <v>200</v>
      </c>
      <c r="E323" t="s">
        <v>22</v>
      </c>
      <c r="F323" s="1">
        <v>41820</v>
      </c>
      <c r="G323">
        <v>183.01</v>
      </c>
      <c r="H323">
        <v>36602</v>
      </c>
      <c r="I323">
        <v>-2398</v>
      </c>
    </row>
    <row r="324" spans="1:9" x14ac:dyDescent="0.45">
      <c r="A324" t="s">
        <v>82</v>
      </c>
      <c r="B324" t="s">
        <v>83</v>
      </c>
      <c r="C324" t="s">
        <v>69</v>
      </c>
      <c r="D324">
        <v>200</v>
      </c>
      <c r="E324" t="s">
        <v>23</v>
      </c>
      <c r="F324" s="1">
        <v>41851</v>
      </c>
      <c r="G324">
        <v>191.03</v>
      </c>
      <c r="H324">
        <v>38206</v>
      </c>
      <c r="I324">
        <v>-794</v>
      </c>
    </row>
    <row r="325" spans="1:9" x14ac:dyDescent="0.45">
      <c r="A325" t="s">
        <v>82</v>
      </c>
      <c r="B325" t="s">
        <v>83</v>
      </c>
      <c r="C325" t="s">
        <v>69</v>
      </c>
      <c r="D325">
        <v>200</v>
      </c>
      <c r="E325" t="s">
        <v>24</v>
      </c>
      <c r="F325" s="1">
        <v>41880</v>
      </c>
      <c r="G325">
        <v>189.18</v>
      </c>
      <c r="H325">
        <v>37836</v>
      </c>
      <c r="I325">
        <v>-1164</v>
      </c>
    </row>
    <row r="326" spans="1:9" x14ac:dyDescent="0.45">
      <c r="A326" t="s">
        <v>82</v>
      </c>
      <c r="B326" t="s">
        <v>83</v>
      </c>
      <c r="C326" t="s">
        <v>69</v>
      </c>
      <c r="D326">
        <v>200</v>
      </c>
      <c r="E326" t="s">
        <v>25</v>
      </c>
      <c r="F326" s="1">
        <v>41912</v>
      </c>
      <c r="G326">
        <v>191.35</v>
      </c>
      <c r="H326">
        <v>38270</v>
      </c>
      <c r="I326">
        <v>-730</v>
      </c>
    </row>
    <row r="327" spans="1:9" x14ac:dyDescent="0.45">
      <c r="A327" t="s">
        <v>82</v>
      </c>
      <c r="B327" t="s">
        <v>83</v>
      </c>
      <c r="C327" t="s">
        <v>69</v>
      </c>
      <c r="D327">
        <v>200</v>
      </c>
      <c r="E327" t="s">
        <v>26</v>
      </c>
      <c r="F327" s="1">
        <v>41943</v>
      </c>
      <c r="G327">
        <v>175.92</v>
      </c>
      <c r="H327">
        <v>35184</v>
      </c>
      <c r="I327">
        <v>-3816</v>
      </c>
    </row>
    <row r="328" spans="1:9" x14ac:dyDescent="0.45">
      <c r="A328" t="s">
        <v>82</v>
      </c>
      <c r="B328" t="s">
        <v>83</v>
      </c>
      <c r="C328" t="s">
        <v>69</v>
      </c>
      <c r="D328">
        <v>200</v>
      </c>
      <c r="E328" t="s">
        <v>27</v>
      </c>
      <c r="F328" s="1">
        <v>41971</v>
      </c>
      <c r="G328">
        <v>162.37</v>
      </c>
      <c r="H328">
        <v>32474</v>
      </c>
      <c r="I328">
        <v>-6526</v>
      </c>
    </row>
    <row r="329" spans="1:9" x14ac:dyDescent="0.45">
      <c r="A329" t="s">
        <v>82</v>
      </c>
      <c r="B329" t="s">
        <v>83</v>
      </c>
      <c r="C329" t="s">
        <v>69</v>
      </c>
      <c r="D329">
        <v>200</v>
      </c>
      <c r="E329" t="s">
        <v>28</v>
      </c>
      <c r="F329" s="1">
        <v>42004</v>
      </c>
      <c r="G329">
        <v>159.97</v>
      </c>
      <c r="H329">
        <v>31994</v>
      </c>
      <c r="I329">
        <v>-7006</v>
      </c>
    </row>
    <row r="330" spans="1:9" x14ac:dyDescent="0.45">
      <c r="A330" t="s">
        <v>82</v>
      </c>
      <c r="B330" t="s">
        <v>83</v>
      </c>
      <c r="C330" t="s">
        <v>69</v>
      </c>
      <c r="D330">
        <v>200</v>
      </c>
      <c r="E330" t="s">
        <v>29</v>
      </c>
      <c r="F330" s="1">
        <v>42034</v>
      </c>
      <c r="G330">
        <v>156.08000000000001</v>
      </c>
      <c r="H330">
        <v>31216</v>
      </c>
      <c r="I330">
        <v>-7784</v>
      </c>
    </row>
    <row r="331" spans="1:9" x14ac:dyDescent="0.45">
      <c r="A331" t="s">
        <v>82</v>
      </c>
      <c r="B331" t="s">
        <v>83</v>
      </c>
      <c r="C331" t="s">
        <v>69</v>
      </c>
      <c r="D331">
        <v>200</v>
      </c>
      <c r="E331" t="s">
        <v>30</v>
      </c>
      <c r="F331" s="1">
        <v>42062</v>
      </c>
      <c r="G331">
        <v>160.01</v>
      </c>
      <c r="H331">
        <v>32002</v>
      </c>
      <c r="I331">
        <v>-6998</v>
      </c>
    </row>
    <row r="332" spans="1:9" x14ac:dyDescent="0.45">
      <c r="A332" t="s">
        <v>82</v>
      </c>
      <c r="B332" t="s">
        <v>83</v>
      </c>
      <c r="C332" t="s">
        <v>69</v>
      </c>
      <c r="D332">
        <v>200</v>
      </c>
      <c r="E332" t="s">
        <v>31</v>
      </c>
      <c r="F332" s="1">
        <v>42094</v>
      </c>
      <c r="G332">
        <v>159.81</v>
      </c>
      <c r="H332">
        <v>31962</v>
      </c>
      <c r="I332">
        <v>-7038</v>
      </c>
    </row>
    <row r="333" spans="1:9" x14ac:dyDescent="0.45">
      <c r="A333" t="s">
        <v>82</v>
      </c>
      <c r="B333" t="s">
        <v>83</v>
      </c>
      <c r="C333" t="s">
        <v>69</v>
      </c>
      <c r="D333">
        <v>200</v>
      </c>
      <c r="E333" t="s">
        <v>32</v>
      </c>
      <c r="F333" s="1">
        <v>42124</v>
      </c>
      <c r="G333">
        <v>165.22</v>
      </c>
      <c r="H333">
        <v>33044</v>
      </c>
      <c r="I333">
        <v>-5956</v>
      </c>
    </row>
    <row r="334" spans="1:9" x14ac:dyDescent="0.45">
      <c r="A334" t="s">
        <v>82</v>
      </c>
      <c r="B334" t="s">
        <v>83</v>
      </c>
      <c r="C334" t="s">
        <v>69</v>
      </c>
      <c r="D334">
        <v>200</v>
      </c>
      <c r="E334" t="s">
        <v>33</v>
      </c>
      <c r="F334" s="1">
        <v>42153</v>
      </c>
      <c r="G334">
        <v>172.25</v>
      </c>
      <c r="H334">
        <v>34450</v>
      </c>
      <c r="I334">
        <v>-4550</v>
      </c>
    </row>
    <row r="335" spans="1:9" x14ac:dyDescent="0.45">
      <c r="A335" t="s">
        <v>82</v>
      </c>
      <c r="B335" t="s">
        <v>83</v>
      </c>
      <c r="C335" t="s">
        <v>69</v>
      </c>
      <c r="D335">
        <v>200</v>
      </c>
      <c r="E335" t="s">
        <v>34</v>
      </c>
      <c r="F335" s="1">
        <v>42185</v>
      </c>
      <c r="G335">
        <v>167.15</v>
      </c>
      <c r="H335">
        <v>33430</v>
      </c>
      <c r="I335">
        <v>-5570</v>
      </c>
    </row>
    <row r="336" spans="1:9" x14ac:dyDescent="0.45">
      <c r="A336" t="s">
        <v>82</v>
      </c>
      <c r="B336" t="s">
        <v>83</v>
      </c>
      <c r="C336" t="s">
        <v>69</v>
      </c>
      <c r="D336">
        <v>200</v>
      </c>
      <c r="E336" t="s">
        <v>35</v>
      </c>
      <c r="F336" s="1">
        <v>42216</v>
      </c>
      <c r="G336">
        <v>164.75</v>
      </c>
      <c r="H336">
        <v>32950</v>
      </c>
      <c r="I336">
        <v>-6050</v>
      </c>
    </row>
    <row r="337" spans="1:9" x14ac:dyDescent="0.45">
      <c r="A337" t="s">
        <v>82</v>
      </c>
      <c r="B337" t="s">
        <v>83</v>
      </c>
      <c r="C337" t="s">
        <v>69</v>
      </c>
      <c r="D337">
        <v>200</v>
      </c>
      <c r="E337" t="s">
        <v>36</v>
      </c>
      <c r="F337" s="1">
        <v>42247</v>
      </c>
      <c r="G337">
        <v>152.77000000000001</v>
      </c>
      <c r="H337">
        <v>30554</v>
      </c>
      <c r="I337">
        <v>-8446</v>
      </c>
    </row>
    <row r="338" spans="1:9" x14ac:dyDescent="0.45">
      <c r="A338" t="s">
        <v>82</v>
      </c>
      <c r="B338" t="s">
        <v>83</v>
      </c>
      <c r="C338" t="s">
        <v>69</v>
      </c>
      <c r="D338">
        <v>200</v>
      </c>
      <c r="E338" t="s">
        <v>37</v>
      </c>
      <c r="F338" s="1">
        <v>42277</v>
      </c>
      <c r="G338">
        <v>145.36000000000001</v>
      </c>
      <c r="H338">
        <v>29072</v>
      </c>
      <c r="I338">
        <v>-9928</v>
      </c>
    </row>
    <row r="339" spans="1:9" x14ac:dyDescent="0.45">
      <c r="A339" t="s">
        <v>82</v>
      </c>
      <c r="B339" t="s">
        <v>83</v>
      </c>
      <c r="C339" t="s">
        <v>69</v>
      </c>
      <c r="D339">
        <v>200</v>
      </c>
      <c r="E339" t="s">
        <v>38</v>
      </c>
      <c r="F339" s="1">
        <v>42307</v>
      </c>
      <c r="G339">
        <v>146.12</v>
      </c>
      <c r="H339">
        <v>29224</v>
      </c>
      <c r="I339">
        <v>-9776</v>
      </c>
    </row>
    <row r="340" spans="1:9" x14ac:dyDescent="0.45">
      <c r="A340" t="s">
        <v>82</v>
      </c>
      <c r="B340" t="s">
        <v>83</v>
      </c>
      <c r="C340" t="s">
        <v>69</v>
      </c>
      <c r="D340">
        <v>200</v>
      </c>
      <c r="E340" t="s">
        <v>39</v>
      </c>
      <c r="F340" s="1">
        <v>42338</v>
      </c>
      <c r="G340">
        <v>137.21</v>
      </c>
      <c r="H340">
        <v>27442</v>
      </c>
      <c r="I340">
        <v>-11558</v>
      </c>
    </row>
    <row r="341" spans="1:9" x14ac:dyDescent="0.45">
      <c r="A341" t="s">
        <v>82</v>
      </c>
      <c r="B341" t="s">
        <v>83</v>
      </c>
      <c r="C341" t="s">
        <v>69</v>
      </c>
      <c r="D341">
        <v>200</v>
      </c>
      <c r="E341" t="s">
        <v>40</v>
      </c>
      <c r="F341" s="1">
        <v>42369</v>
      </c>
      <c r="G341">
        <v>137.96</v>
      </c>
      <c r="H341">
        <v>27592</v>
      </c>
      <c r="I341">
        <v>-11408</v>
      </c>
    </row>
    <row r="342" spans="1:9" x14ac:dyDescent="0.45">
      <c r="A342" t="s">
        <v>82</v>
      </c>
      <c r="B342" t="s">
        <v>83</v>
      </c>
      <c r="C342" t="s">
        <v>69</v>
      </c>
      <c r="D342">
        <v>200</v>
      </c>
      <c r="E342" t="s">
        <v>41</v>
      </c>
      <c r="F342" s="1">
        <v>42398</v>
      </c>
      <c r="G342">
        <v>128.41</v>
      </c>
      <c r="H342">
        <v>25682</v>
      </c>
      <c r="I342">
        <v>-13318</v>
      </c>
    </row>
    <row r="343" spans="1:9" x14ac:dyDescent="0.45">
      <c r="A343" t="s">
        <v>82</v>
      </c>
      <c r="B343" t="s">
        <v>83</v>
      </c>
      <c r="C343" t="s">
        <v>69</v>
      </c>
      <c r="D343">
        <v>200</v>
      </c>
      <c r="E343" t="s">
        <v>42</v>
      </c>
      <c r="F343" s="1">
        <v>42429</v>
      </c>
      <c r="G343">
        <v>127.49</v>
      </c>
      <c r="H343">
        <v>25498</v>
      </c>
      <c r="I343">
        <v>-13502</v>
      </c>
    </row>
    <row r="344" spans="1:9" x14ac:dyDescent="0.45">
      <c r="A344" t="s">
        <v>82</v>
      </c>
      <c r="B344" t="s">
        <v>83</v>
      </c>
      <c r="C344" t="s">
        <v>69</v>
      </c>
      <c r="D344">
        <v>200</v>
      </c>
      <c r="E344" t="s">
        <v>43</v>
      </c>
      <c r="F344" s="1">
        <v>42460</v>
      </c>
      <c r="G344">
        <v>143.66999999999999</v>
      </c>
      <c r="H344">
        <v>28734</v>
      </c>
      <c r="I344">
        <v>-10266</v>
      </c>
    </row>
    <row r="345" spans="1:9" x14ac:dyDescent="0.45">
      <c r="A345" t="s">
        <v>82</v>
      </c>
      <c r="B345" t="s">
        <v>83</v>
      </c>
      <c r="C345" t="s">
        <v>69</v>
      </c>
      <c r="D345">
        <v>200</v>
      </c>
      <c r="E345" t="s">
        <v>44</v>
      </c>
      <c r="F345" s="1">
        <v>42489</v>
      </c>
      <c r="G345">
        <v>149.38</v>
      </c>
      <c r="H345">
        <v>29876</v>
      </c>
      <c r="I345">
        <v>-9124</v>
      </c>
    </row>
    <row r="346" spans="1:9" x14ac:dyDescent="0.45">
      <c r="A346" t="s">
        <v>82</v>
      </c>
      <c r="B346" t="s">
        <v>83</v>
      </c>
      <c r="C346" t="s">
        <v>69</v>
      </c>
      <c r="D346">
        <v>200</v>
      </c>
      <c r="E346" t="s">
        <v>45</v>
      </c>
      <c r="F346" s="1">
        <v>42521</v>
      </c>
      <c r="G346">
        <v>148.24</v>
      </c>
      <c r="H346">
        <v>29648</v>
      </c>
      <c r="I346">
        <v>-9352</v>
      </c>
    </row>
    <row r="347" spans="1:9" x14ac:dyDescent="0.45">
      <c r="A347" t="s">
        <v>82</v>
      </c>
      <c r="B347" t="s">
        <v>83</v>
      </c>
      <c r="C347" t="s">
        <v>69</v>
      </c>
      <c r="D347">
        <v>200</v>
      </c>
      <c r="E347" t="s">
        <v>46</v>
      </c>
      <c r="F347" s="1">
        <v>42551</v>
      </c>
      <c r="G347">
        <v>151.49</v>
      </c>
      <c r="H347">
        <v>30298</v>
      </c>
      <c r="I347">
        <v>-8702</v>
      </c>
    </row>
    <row r="348" spans="1:9" x14ac:dyDescent="0.45">
      <c r="A348" t="s">
        <v>82</v>
      </c>
      <c r="B348" t="s">
        <v>83</v>
      </c>
      <c r="C348" t="s">
        <v>69</v>
      </c>
      <c r="D348">
        <v>200</v>
      </c>
      <c r="E348" t="s">
        <v>47</v>
      </c>
      <c r="F348" s="1">
        <v>42580</v>
      </c>
      <c r="G348">
        <v>158.29</v>
      </c>
      <c r="H348">
        <v>31658</v>
      </c>
      <c r="I348">
        <v>-7342</v>
      </c>
    </row>
    <row r="349" spans="1:9" x14ac:dyDescent="0.45">
      <c r="A349" t="s">
        <v>82</v>
      </c>
      <c r="B349" t="s">
        <v>83</v>
      </c>
      <c r="C349" t="s">
        <v>69</v>
      </c>
      <c r="D349">
        <v>200</v>
      </c>
      <c r="E349" t="s">
        <v>48</v>
      </c>
      <c r="F349" s="1">
        <v>42613</v>
      </c>
      <c r="G349">
        <v>160.77000000000001</v>
      </c>
      <c r="H349">
        <v>32154</v>
      </c>
      <c r="I349">
        <v>-6846</v>
      </c>
    </row>
    <row r="350" spans="1:9" x14ac:dyDescent="0.45">
      <c r="A350" t="s">
        <v>82</v>
      </c>
      <c r="B350" t="s">
        <v>83</v>
      </c>
      <c r="C350" t="s">
        <v>69</v>
      </c>
      <c r="D350">
        <v>200</v>
      </c>
      <c r="E350" t="s">
        <v>49</v>
      </c>
      <c r="F350" s="1">
        <v>42643</v>
      </c>
      <c r="G350">
        <v>156.91999999999999</v>
      </c>
      <c r="H350">
        <v>31384</v>
      </c>
      <c r="I350">
        <v>-7616</v>
      </c>
    </row>
    <row r="351" spans="1:9" x14ac:dyDescent="0.45">
      <c r="A351" t="s">
        <v>82</v>
      </c>
      <c r="B351" t="s">
        <v>83</v>
      </c>
      <c r="C351" t="s">
        <v>69</v>
      </c>
      <c r="D351">
        <v>200</v>
      </c>
      <c r="E351" t="s">
        <v>50</v>
      </c>
      <c r="F351" s="1">
        <v>42674</v>
      </c>
      <c r="G351">
        <v>153.75</v>
      </c>
      <c r="H351">
        <v>30750</v>
      </c>
      <c r="I351">
        <v>-8250</v>
      </c>
    </row>
    <row r="352" spans="1:9" x14ac:dyDescent="0.45">
      <c r="A352" t="s">
        <v>82</v>
      </c>
      <c r="B352" t="s">
        <v>83</v>
      </c>
      <c r="C352" t="s">
        <v>69</v>
      </c>
      <c r="D352">
        <v>200</v>
      </c>
      <c r="E352" t="s">
        <v>51</v>
      </c>
      <c r="F352" s="1">
        <v>42704</v>
      </c>
      <c r="G352">
        <v>158.76</v>
      </c>
      <c r="H352">
        <v>31752</v>
      </c>
      <c r="I352">
        <v>-7248</v>
      </c>
    </row>
    <row r="353" spans="1:9" x14ac:dyDescent="0.45">
      <c r="A353" t="s">
        <v>82</v>
      </c>
      <c r="B353" t="s">
        <v>83</v>
      </c>
      <c r="C353" t="s">
        <v>69</v>
      </c>
      <c r="D353">
        <v>200</v>
      </c>
      <c r="E353" t="s">
        <v>52</v>
      </c>
      <c r="F353" s="1">
        <v>42734</v>
      </c>
      <c r="G353">
        <v>165.48</v>
      </c>
      <c r="H353">
        <v>33096</v>
      </c>
      <c r="I353">
        <v>-5904</v>
      </c>
    </row>
    <row r="354" spans="1:9" x14ac:dyDescent="0.45">
      <c r="A354" t="s">
        <v>82</v>
      </c>
      <c r="B354" t="s">
        <v>83</v>
      </c>
      <c r="C354" t="s">
        <v>69</v>
      </c>
      <c r="D354">
        <v>200</v>
      </c>
      <c r="E354" t="s">
        <v>53</v>
      </c>
      <c r="F354" s="1">
        <v>42766</v>
      </c>
      <c r="G354">
        <v>170.72</v>
      </c>
      <c r="H354">
        <v>34144</v>
      </c>
      <c r="I354">
        <v>-4856</v>
      </c>
    </row>
    <row r="355" spans="1:9" x14ac:dyDescent="0.45">
      <c r="A355" t="s">
        <v>82</v>
      </c>
      <c r="B355" t="s">
        <v>83</v>
      </c>
      <c r="C355" t="s">
        <v>69</v>
      </c>
      <c r="D355">
        <v>200</v>
      </c>
      <c r="E355" t="s">
        <v>54</v>
      </c>
      <c r="F355" s="1">
        <v>42794</v>
      </c>
      <c r="G355">
        <v>178.84</v>
      </c>
      <c r="H355">
        <v>35768</v>
      </c>
      <c r="I355">
        <v>-3232</v>
      </c>
    </row>
    <row r="356" spans="1:9" x14ac:dyDescent="0.45">
      <c r="A356" t="s">
        <v>82</v>
      </c>
      <c r="B356" t="s">
        <v>83</v>
      </c>
      <c r="C356" t="s">
        <v>69</v>
      </c>
      <c r="D356">
        <v>200</v>
      </c>
      <c r="E356" t="s">
        <v>55</v>
      </c>
      <c r="F356" s="1">
        <v>42825</v>
      </c>
      <c r="G356">
        <v>176.61</v>
      </c>
      <c r="H356">
        <v>35322</v>
      </c>
      <c r="I356">
        <v>-3678</v>
      </c>
    </row>
    <row r="357" spans="1:9" x14ac:dyDescent="0.45">
      <c r="A357" t="s">
        <v>82</v>
      </c>
      <c r="B357" t="s">
        <v>83</v>
      </c>
      <c r="C357" t="s">
        <v>69</v>
      </c>
      <c r="D357">
        <v>200</v>
      </c>
      <c r="E357" t="s">
        <v>56</v>
      </c>
      <c r="F357" s="1">
        <v>42853</v>
      </c>
      <c r="G357">
        <v>167.15</v>
      </c>
      <c r="H357">
        <v>33430</v>
      </c>
      <c r="I357">
        <v>-5570</v>
      </c>
    </row>
    <row r="358" spans="1:9" x14ac:dyDescent="0.45">
      <c r="A358" t="s">
        <v>82</v>
      </c>
      <c r="B358" t="s">
        <v>83</v>
      </c>
      <c r="C358" t="s">
        <v>69</v>
      </c>
      <c r="D358">
        <v>200</v>
      </c>
      <c r="E358" t="s">
        <v>57</v>
      </c>
      <c r="F358" s="1">
        <v>42886</v>
      </c>
      <c r="G358">
        <v>153.37</v>
      </c>
      <c r="H358">
        <v>30674</v>
      </c>
      <c r="I358">
        <v>-8326</v>
      </c>
    </row>
    <row r="359" spans="1:9" x14ac:dyDescent="0.45">
      <c r="A359" t="s">
        <v>82</v>
      </c>
      <c r="B359" t="s">
        <v>83</v>
      </c>
      <c r="C359" t="s">
        <v>69</v>
      </c>
      <c r="D359">
        <v>200</v>
      </c>
      <c r="E359" t="s">
        <v>58</v>
      </c>
      <c r="F359" s="1">
        <v>42916</v>
      </c>
      <c r="G359">
        <v>153.86000000000001</v>
      </c>
      <c r="H359">
        <v>30772</v>
      </c>
      <c r="I359">
        <v>-8228</v>
      </c>
    </row>
    <row r="360" spans="1:9" x14ac:dyDescent="0.45">
      <c r="A360" t="s">
        <v>82</v>
      </c>
      <c r="B360" t="s">
        <v>83</v>
      </c>
      <c r="C360" t="s">
        <v>69</v>
      </c>
      <c r="D360">
        <v>200</v>
      </c>
      <c r="E360" t="s">
        <v>59</v>
      </c>
      <c r="F360" s="1">
        <v>42947</v>
      </c>
      <c r="G360">
        <v>150.18</v>
      </c>
      <c r="H360">
        <v>30036</v>
      </c>
      <c r="I360">
        <v>-8964</v>
      </c>
    </row>
    <row r="361" spans="1:9" x14ac:dyDescent="0.45">
      <c r="A361" t="s">
        <v>82</v>
      </c>
      <c r="B361" t="s">
        <v>83</v>
      </c>
      <c r="C361" t="s">
        <v>69</v>
      </c>
      <c r="D361">
        <v>200</v>
      </c>
      <c r="E361" t="s">
        <v>60</v>
      </c>
      <c r="F361" s="1">
        <v>42978</v>
      </c>
      <c r="G361">
        <v>142.58000000000001</v>
      </c>
      <c r="H361">
        <v>28516</v>
      </c>
      <c r="I361">
        <v>-10484</v>
      </c>
    </row>
    <row r="362" spans="1:9" x14ac:dyDescent="0.45">
      <c r="A362" t="s">
        <v>82</v>
      </c>
      <c r="B362" t="s">
        <v>83</v>
      </c>
      <c r="C362" t="s">
        <v>69</v>
      </c>
      <c r="D362">
        <v>200</v>
      </c>
      <c r="E362" t="s">
        <v>61</v>
      </c>
      <c r="F362" s="1">
        <v>43007</v>
      </c>
      <c r="G362">
        <v>144.87</v>
      </c>
      <c r="H362">
        <v>28974</v>
      </c>
      <c r="I362">
        <v>-10026</v>
      </c>
    </row>
    <row r="363" spans="1:9" x14ac:dyDescent="0.45">
      <c r="A363" t="s">
        <v>82</v>
      </c>
      <c r="B363" t="s">
        <v>83</v>
      </c>
      <c r="C363" t="s">
        <v>69</v>
      </c>
      <c r="D363">
        <v>200</v>
      </c>
      <c r="E363" t="s">
        <v>62</v>
      </c>
      <c r="F363" s="1">
        <v>43039</v>
      </c>
      <c r="G363">
        <v>151.41999999999999</v>
      </c>
      <c r="H363">
        <v>30284</v>
      </c>
      <c r="I363">
        <v>-8716</v>
      </c>
    </row>
    <row r="364" spans="1:9" x14ac:dyDescent="0.45">
      <c r="A364" t="s">
        <v>82</v>
      </c>
      <c r="B364" t="s">
        <v>83</v>
      </c>
      <c r="C364" t="s">
        <v>69</v>
      </c>
      <c r="D364">
        <v>200</v>
      </c>
      <c r="E364" t="s">
        <v>63</v>
      </c>
      <c r="F364" s="1">
        <v>43069</v>
      </c>
      <c r="G364">
        <v>151.08000000000001</v>
      </c>
      <c r="H364">
        <v>30216</v>
      </c>
      <c r="I364">
        <v>-8784</v>
      </c>
    </row>
    <row r="365" spans="1:9" x14ac:dyDescent="0.45">
      <c r="A365" t="s">
        <v>82</v>
      </c>
      <c r="B365" t="s">
        <v>83</v>
      </c>
      <c r="C365" t="s">
        <v>69</v>
      </c>
      <c r="D365">
        <v>200</v>
      </c>
      <c r="E365" t="s">
        <v>64</v>
      </c>
      <c r="F365" s="1">
        <v>43098</v>
      </c>
      <c r="G365">
        <v>153.93</v>
      </c>
      <c r="H365">
        <v>30786</v>
      </c>
      <c r="I365">
        <v>-8214</v>
      </c>
    </row>
    <row r="366" spans="1:9" x14ac:dyDescent="0.45">
      <c r="A366" t="s">
        <v>82</v>
      </c>
      <c r="B366" t="s">
        <v>83</v>
      </c>
      <c r="C366" t="s">
        <v>69</v>
      </c>
      <c r="D366">
        <v>200</v>
      </c>
      <c r="E366" t="s">
        <v>65</v>
      </c>
      <c r="F366" s="1">
        <v>43131</v>
      </c>
      <c r="G366">
        <v>163.85</v>
      </c>
      <c r="H366">
        <v>32770</v>
      </c>
      <c r="I366">
        <v>-6230</v>
      </c>
    </row>
    <row r="367" spans="1:9" x14ac:dyDescent="0.45">
      <c r="A367" t="s">
        <v>82</v>
      </c>
      <c r="B367" t="s">
        <v>83</v>
      </c>
      <c r="C367" t="s">
        <v>69</v>
      </c>
      <c r="D367">
        <v>200</v>
      </c>
      <c r="E367" t="s">
        <v>66</v>
      </c>
      <c r="F367" s="1">
        <v>43138</v>
      </c>
      <c r="G367">
        <v>156.63</v>
      </c>
      <c r="H367">
        <v>31326</v>
      </c>
      <c r="I367">
        <v>-7674</v>
      </c>
    </row>
    <row r="368" spans="1:9" x14ac:dyDescent="0.45">
      <c r="A368" t="s">
        <v>82</v>
      </c>
      <c r="B368" t="s">
        <v>83</v>
      </c>
      <c r="C368" t="s">
        <v>68</v>
      </c>
      <c r="D368">
        <v>20</v>
      </c>
      <c r="E368" t="s">
        <v>6</v>
      </c>
      <c r="F368" s="1">
        <v>41333</v>
      </c>
      <c r="G368">
        <v>396.41</v>
      </c>
      <c r="H368">
        <v>7928.2</v>
      </c>
      <c r="I368">
        <v>328.2</v>
      </c>
    </row>
    <row r="369" spans="1:9" x14ac:dyDescent="0.45">
      <c r="A369" t="s">
        <v>82</v>
      </c>
      <c r="B369" t="s">
        <v>83</v>
      </c>
      <c r="C369" t="s">
        <v>68</v>
      </c>
      <c r="D369">
        <v>20</v>
      </c>
      <c r="E369" t="s">
        <v>7</v>
      </c>
      <c r="F369" s="1">
        <v>41361</v>
      </c>
      <c r="G369">
        <v>409.4</v>
      </c>
      <c r="H369">
        <v>8188</v>
      </c>
      <c r="I369">
        <v>588</v>
      </c>
    </row>
    <row r="370" spans="1:9" x14ac:dyDescent="0.45">
      <c r="A370" t="s">
        <v>82</v>
      </c>
      <c r="B370" t="s">
        <v>83</v>
      </c>
      <c r="C370" t="s">
        <v>68</v>
      </c>
      <c r="D370">
        <v>20</v>
      </c>
      <c r="E370" t="s">
        <v>8</v>
      </c>
      <c r="F370" s="1">
        <v>41394</v>
      </c>
      <c r="G370">
        <v>398.6</v>
      </c>
      <c r="H370">
        <v>7972</v>
      </c>
      <c r="I370">
        <v>372</v>
      </c>
    </row>
    <row r="371" spans="1:9" x14ac:dyDescent="0.45">
      <c r="A371" t="s">
        <v>82</v>
      </c>
      <c r="B371" t="s">
        <v>83</v>
      </c>
      <c r="C371" t="s">
        <v>68</v>
      </c>
      <c r="D371">
        <v>20</v>
      </c>
      <c r="E371" t="s">
        <v>9</v>
      </c>
      <c r="F371" s="1">
        <v>41425</v>
      </c>
      <c r="G371">
        <v>438.76</v>
      </c>
      <c r="H371">
        <v>8775.2000000000007</v>
      </c>
      <c r="I371">
        <v>1175.2</v>
      </c>
    </row>
    <row r="372" spans="1:9" x14ac:dyDescent="0.45">
      <c r="A372" t="s">
        <v>82</v>
      </c>
      <c r="B372" t="s">
        <v>83</v>
      </c>
      <c r="C372" t="s">
        <v>68</v>
      </c>
      <c r="D372">
        <v>20</v>
      </c>
      <c r="E372" t="s">
        <v>10</v>
      </c>
      <c r="F372" s="1">
        <v>41453</v>
      </c>
      <c r="G372">
        <v>439.07</v>
      </c>
      <c r="H372">
        <v>8781.4</v>
      </c>
      <c r="I372">
        <v>1181.4000000000001</v>
      </c>
    </row>
    <row r="373" spans="1:9" x14ac:dyDescent="0.45">
      <c r="A373" t="s">
        <v>82</v>
      </c>
      <c r="B373" t="s">
        <v>83</v>
      </c>
      <c r="C373" t="s">
        <v>68</v>
      </c>
      <c r="D373">
        <v>20</v>
      </c>
      <c r="E373" t="s">
        <v>11</v>
      </c>
      <c r="F373" s="1">
        <v>41486</v>
      </c>
      <c r="G373">
        <v>451.16</v>
      </c>
      <c r="H373">
        <v>9023.2000000000007</v>
      </c>
      <c r="I373">
        <v>1423.2</v>
      </c>
    </row>
    <row r="374" spans="1:9" x14ac:dyDescent="0.45">
      <c r="A374" t="s">
        <v>82</v>
      </c>
      <c r="B374" t="s">
        <v>83</v>
      </c>
      <c r="C374" t="s">
        <v>68</v>
      </c>
      <c r="D374">
        <v>20</v>
      </c>
      <c r="E374" t="s">
        <v>12</v>
      </c>
      <c r="F374" s="1">
        <v>41516</v>
      </c>
      <c r="G374">
        <v>437.96</v>
      </c>
      <c r="H374">
        <v>8759.2000000000007</v>
      </c>
      <c r="I374">
        <v>1159.2</v>
      </c>
    </row>
    <row r="375" spans="1:9" x14ac:dyDescent="0.45">
      <c r="A375" t="s">
        <v>82</v>
      </c>
      <c r="B375" t="s">
        <v>83</v>
      </c>
      <c r="C375" t="s">
        <v>68</v>
      </c>
      <c r="D375">
        <v>20</v>
      </c>
      <c r="E375" t="s">
        <v>13</v>
      </c>
      <c r="F375" s="1">
        <v>41547</v>
      </c>
      <c r="G375">
        <v>443.09</v>
      </c>
      <c r="H375">
        <v>8861.7999999999993</v>
      </c>
      <c r="I375">
        <v>1261.8</v>
      </c>
    </row>
    <row r="376" spans="1:9" x14ac:dyDescent="0.45">
      <c r="A376" t="s">
        <v>82</v>
      </c>
      <c r="B376" t="s">
        <v>83</v>
      </c>
      <c r="C376" t="s">
        <v>68</v>
      </c>
      <c r="D376">
        <v>20</v>
      </c>
      <c r="E376" t="s">
        <v>14</v>
      </c>
      <c r="F376" s="1">
        <v>41578</v>
      </c>
      <c r="G376">
        <v>469.82</v>
      </c>
      <c r="H376">
        <v>9396.4</v>
      </c>
      <c r="I376">
        <v>1796.4</v>
      </c>
    </row>
    <row r="377" spans="1:9" x14ac:dyDescent="0.45">
      <c r="A377" t="s">
        <v>82</v>
      </c>
      <c r="B377" t="s">
        <v>83</v>
      </c>
      <c r="C377" t="s">
        <v>68</v>
      </c>
      <c r="D377">
        <v>20</v>
      </c>
      <c r="E377" t="s">
        <v>15</v>
      </c>
      <c r="F377" s="1">
        <v>41607</v>
      </c>
      <c r="G377">
        <v>515.94000000000005</v>
      </c>
      <c r="H377">
        <v>10318.799999999999</v>
      </c>
      <c r="I377">
        <v>2718.8</v>
      </c>
    </row>
    <row r="378" spans="1:9" x14ac:dyDescent="0.45">
      <c r="A378" t="s">
        <v>82</v>
      </c>
      <c r="B378" t="s">
        <v>83</v>
      </c>
      <c r="C378" t="s">
        <v>68</v>
      </c>
      <c r="D378">
        <v>20</v>
      </c>
      <c r="E378" t="s">
        <v>16</v>
      </c>
      <c r="F378" s="1">
        <v>41639</v>
      </c>
      <c r="G378">
        <v>542.72</v>
      </c>
      <c r="H378">
        <v>10854.4</v>
      </c>
      <c r="I378">
        <v>3254.4</v>
      </c>
    </row>
    <row r="379" spans="1:9" x14ac:dyDescent="0.45">
      <c r="A379" t="s">
        <v>82</v>
      </c>
      <c r="B379" t="s">
        <v>83</v>
      </c>
      <c r="C379" t="s">
        <v>68</v>
      </c>
      <c r="D379">
        <v>20</v>
      </c>
      <c r="E379" t="s">
        <v>17</v>
      </c>
      <c r="F379" s="1">
        <v>41670</v>
      </c>
      <c r="G379">
        <v>568.76</v>
      </c>
      <c r="H379">
        <v>11375.2</v>
      </c>
      <c r="I379">
        <v>3775.2</v>
      </c>
    </row>
    <row r="380" spans="1:9" x14ac:dyDescent="0.45">
      <c r="A380" t="s">
        <v>82</v>
      </c>
      <c r="B380" t="s">
        <v>83</v>
      </c>
      <c r="C380" t="s">
        <v>68</v>
      </c>
      <c r="D380">
        <v>20</v>
      </c>
      <c r="E380" t="s">
        <v>18</v>
      </c>
      <c r="F380" s="1">
        <v>41698</v>
      </c>
      <c r="G380">
        <v>595.67999999999995</v>
      </c>
      <c r="H380">
        <v>11913.6</v>
      </c>
      <c r="I380">
        <v>4313.6000000000004</v>
      </c>
    </row>
    <row r="381" spans="1:9" x14ac:dyDescent="0.45">
      <c r="A381" t="s">
        <v>82</v>
      </c>
      <c r="B381" t="s">
        <v>83</v>
      </c>
      <c r="C381" t="s">
        <v>68</v>
      </c>
      <c r="D381">
        <v>20</v>
      </c>
      <c r="E381" t="s">
        <v>19</v>
      </c>
      <c r="F381" s="1">
        <v>41729</v>
      </c>
      <c r="G381">
        <v>591.80999999999995</v>
      </c>
      <c r="H381">
        <v>11836.2</v>
      </c>
      <c r="I381">
        <v>4236.2</v>
      </c>
    </row>
    <row r="382" spans="1:9" x14ac:dyDescent="0.45">
      <c r="A382" t="s">
        <v>82</v>
      </c>
      <c r="B382" t="s">
        <v>83</v>
      </c>
      <c r="C382" t="s">
        <v>68</v>
      </c>
      <c r="D382">
        <v>20</v>
      </c>
      <c r="E382" t="s">
        <v>20</v>
      </c>
      <c r="F382" s="1">
        <v>41759</v>
      </c>
      <c r="G382">
        <v>546.55999999999995</v>
      </c>
      <c r="H382">
        <v>10931.2</v>
      </c>
      <c r="I382">
        <v>3331.2</v>
      </c>
    </row>
    <row r="383" spans="1:9" x14ac:dyDescent="0.45">
      <c r="A383" t="s">
        <v>82</v>
      </c>
      <c r="B383" t="s">
        <v>83</v>
      </c>
      <c r="C383" t="s">
        <v>68</v>
      </c>
      <c r="D383">
        <v>20</v>
      </c>
      <c r="E383" t="s">
        <v>21</v>
      </c>
      <c r="F383" s="1">
        <v>41789</v>
      </c>
      <c r="G383">
        <v>542.98</v>
      </c>
      <c r="H383">
        <v>10859.6</v>
      </c>
      <c r="I383">
        <v>3259.6</v>
      </c>
    </row>
    <row r="384" spans="1:9" x14ac:dyDescent="0.45">
      <c r="A384" t="s">
        <v>82</v>
      </c>
      <c r="B384" t="s">
        <v>83</v>
      </c>
      <c r="C384" t="s">
        <v>68</v>
      </c>
      <c r="D384">
        <v>20</v>
      </c>
      <c r="E384" t="s">
        <v>22</v>
      </c>
      <c r="F384" s="1">
        <v>41820</v>
      </c>
      <c r="G384">
        <v>567.28</v>
      </c>
      <c r="H384">
        <v>11345.6</v>
      </c>
      <c r="I384">
        <v>3745.6</v>
      </c>
    </row>
    <row r="385" spans="1:9" x14ac:dyDescent="0.45">
      <c r="A385" t="s">
        <v>82</v>
      </c>
      <c r="B385" t="s">
        <v>83</v>
      </c>
      <c r="C385" t="s">
        <v>68</v>
      </c>
      <c r="D385">
        <v>20</v>
      </c>
      <c r="E385" t="s">
        <v>23</v>
      </c>
      <c r="F385" s="1">
        <v>41851</v>
      </c>
      <c r="G385">
        <v>592.49</v>
      </c>
      <c r="H385">
        <v>11849.8</v>
      </c>
      <c r="I385">
        <v>4249.8</v>
      </c>
    </row>
    <row r="386" spans="1:9" x14ac:dyDescent="0.45">
      <c r="A386" t="s">
        <v>82</v>
      </c>
      <c r="B386" t="s">
        <v>83</v>
      </c>
      <c r="C386" t="s">
        <v>68</v>
      </c>
      <c r="D386">
        <v>20</v>
      </c>
      <c r="E386" t="s">
        <v>24</v>
      </c>
      <c r="F386" s="1">
        <v>41880</v>
      </c>
      <c r="G386">
        <v>583.34</v>
      </c>
      <c r="H386">
        <v>11666.8</v>
      </c>
      <c r="I386">
        <v>4066.8</v>
      </c>
    </row>
    <row r="387" spans="1:9" x14ac:dyDescent="0.45">
      <c r="A387" t="s">
        <v>82</v>
      </c>
      <c r="B387" t="s">
        <v>83</v>
      </c>
      <c r="C387" t="s">
        <v>68</v>
      </c>
      <c r="D387">
        <v>20</v>
      </c>
      <c r="E387" t="s">
        <v>25</v>
      </c>
      <c r="F387" s="1">
        <v>41912</v>
      </c>
      <c r="G387">
        <v>592.13</v>
      </c>
      <c r="H387">
        <v>11842.6</v>
      </c>
      <c r="I387">
        <v>4242.6000000000004</v>
      </c>
    </row>
    <row r="388" spans="1:9" x14ac:dyDescent="0.45">
      <c r="A388" t="s">
        <v>82</v>
      </c>
      <c r="B388" t="s">
        <v>83</v>
      </c>
      <c r="C388" t="s">
        <v>68</v>
      </c>
      <c r="D388">
        <v>20</v>
      </c>
      <c r="E388" t="s">
        <v>26</v>
      </c>
      <c r="F388" s="1">
        <v>41943</v>
      </c>
      <c r="G388">
        <v>557.54</v>
      </c>
      <c r="H388">
        <v>11150.8</v>
      </c>
      <c r="I388">
        <v>3550.8</v>
      </c>
    </row>
    <row r="389" spans="1:9" x14ac:dyDescent="0.45">
      <c r="A389" t="s">
        <v>82</v>
      </c>
      <c r="B389" t="s">
        <v>83</v>
      </c>
      <c r="C389" t="s">
        <v>68</v>
      </c>
      <c r="D389">
        <v>20</v>
      </c>
      <c r="E389" t="s">
        <v>27</v>
      </c>
      <c r="F389" s="1">
        <v>41971</v>
      </c>
      <c r="G389">
        <v>552.54</v>
      </c>
      <c r="H389">
        <v>11050.8</v>
      </c>
      <c r="I389">
        <v>3450.8</v>
      </c>
    </row>
    <row r="390" spans="1:9" x14ac:dyDescent="0.45">
      <c r="A390" t="s">
        <v>82</v>
      </c>
      <c r="B390" t="s">
        <v>83</v>
      </c>
      <c r="C390" t="s">
        <v>68</v>
      </c>
      <c r="D390">
        <v>20</v>
      </c>
      <c r="E390" t="s">
        <v>28</v>
      </c>
      <c r="F390" s="1">
        <v>42004</v>
      </c>
      <c r="G390">
        <v>529.19000000000005</v>
      </c>
      <c r="H390">
        <v>10583.8</v>
      </c>
      <c r="I390">
        <v>2983.8</v>
      </c>
    </row>
    <row r="391" spans="1:9" x14ac:dyDescent="0.45">
      <c r="A391" t="s">
        <v>82</v>
      </c>
      <c r="B391" t="s">
        <v>83</v>
      </c>
      <c r="C391" t="s">
        <v>68</v>
      </c>
      <c r="D391">
        <v>20</v>
      </c>
      <c r="E391" t="s">
        <v>29</v>
      </c>
      <c r="F391" s="1">
        <v>42034</v>
      </c>
      <c r="G391">
        <v>515.91999999999996</v>
      </c>
      <c r="H391">
        <v>10318.4</v>
      </c>
      <c r="I391">
        <v>2718.4</v>
      </c>
    </row>
    <row r="392" spans="1:9" x14ac:dyDescent="0.45">
      <c r="A392" t="s">
        <v>82</v>
      </c>
      <c r="B392" t="s">
        <v>83</v>
      </c>
      <c r="C392" t="s">
        <v>68</v>
      </c>
      <c r="D392">
        <v>20</v>
      </c>
      <c r="E392" t="s">
        <v>30</v>
      </c>
      <c r="F392" s="1">
        <v>42062</v>
      </c>
      <c r="G392">
        <v>540.99</v>
      </c>
      <c r="H392">
        <v>10819.8</v>
      </c>
      <c r="I392">
        <v>3219.8</v>
      </c>
    </row>
    <row r="393" spans="1:9" x14ac:dyDescent="0.45">
      <c r="A393" t="s">
        <v>82</v>
      </c>
      <c r="B393" t="s">
        <v>83</v>
      </c>
      <c r="C393" t="s">
        <v>68</v>
      </c>
      <c r="D393">
        <v>20</v>
      </c>
      <c r="E393" t="s">
        <v>31</v>
      </c>
      <c r="F393" s="1">
        <v>42094</v>
      </c>
      <c r="G393">
        <v>565.97</v>
      </c>
      <c r="H393">
        <v>11319.4</v>
      </c>
      <c r="I393">
        <v>3719.4</v>
      </c>
    </row>
    <row r="394" spans="1:9" x14ac:dyDescent="0.45">
      <c r="A394" t="s">
        <v>82</v>
      </c>
      <c r="B394" t="s">
        <v>83</v>
      </c>
      <c r="C394" t="s">
        <v>68</v>
      </c>
      <c r="D394">
        <v>20</v>
      </c>
      <c r="E394" t="s">
        <v>32</v>
      </c>
      <c r="F394" s="1">
        <v>42124</v>
      </c>
      <c r="G394">
        <v>549.48</v>
      </c>
      <c r="H394">
        <v>10989.6</v>
      </c>
      <c r="I394">
        <v>3389.6</v>
      </c>
    </row>
    <row r="395" spans="1:9" x14ac:dyDescent="0.45">
      <c r="A395" t="s">
        <v>82</v>
      </c>
      <c r="B395" t="s">
        <v>83</v>
      </c>
      <c r="C395" t="s">
        <v>68</v>
      </c>
      <c r="D395">
        <v>20</v>
      </c>
      <c r="E395" t="s">
        <v>33</v>
      </c>
      <c r="F395" s="1">
        <v>42153</v>
      </c>
      <c r="G395">
        <v>547.67999999999995</v>
      </c>
      <c r="H395">
        <v>10953.6</v>
      </c>
      <c r="I395">
        <v>3353.6</v>
      </c>
    </row>
    <row r="396" spans="1:9" x14ac:dyDescent="0.45">
      <c r="A396" t="s">
        <v>82</v>
      </c>
      <c r="B396" t="s">
        <v>83</v>
      </c>
      <c r="C396" t="s">
        <v>68</v>
      </c>
      <c r="D396">
        <v>20</v>
      </c>
      <c r="E396" t="s">
        <v>34</v>
      </c>
      <c r="F396" s="1">
        <v>42185</v>
      </c>
      <c r="G396">
        <v>550.79999999999995</v>
      </c>
      <c r="H396">
        <v>11016</v>
      </c>
      <c r="I396">
        <v>3416</v>
      </c>
    </row>
    <row r="397" spans="1:9" x14ac:dyDescent="0.45">
      <c r="A397" t="s">
        <v>82</v>
      </c>
      <c r="B397" t="s">
        <v>83</v>
      </c>
      <c r="C397" t="s">
        <v>68</v>
      </c>
      <c r="D397">
        <v>20</v>
      </c>
      <c r="E397" t="s">
        <v>35</v>
      </c>
      <c r="F397" s="1">
        <v>42216</v>
      </c>
      <c r="G397">
        <v>617.47</v>
      </c>
      <c r="H397">
        <v>12349.4</v>
      </c>
      <c r="I397">
        <v>4749.3999999999996</v>
      </c>
    </row>
    <row r="398" spans="1:9" x14ac:dyDescent="0.45">
      <c r="A398" t="s">
        <v>82</v>
      </c>
      <c r="B398" t="s">
        <v>83</v>
      </c>
      <c r="C398" t="s">
        <v>68</v>
      </c>
      <c r="D398">
        <v>20</v>
      </c>
      <c r="E398" t="s">
        <v>36</v>
      </c>
      <c r="F398" s="1">
        <v>42247</v>
      </c>
      <c r="G398">
        <v>667.66</v>
      </c>
      <c r="H398">
        <v>13353.2</v>
      </c>
      <c r="I398">
        <v>5753.2</v>
      </c>
    </row>
    <row r="399" spans="1:9" x14ac:dyDescent="0.45">
      <c r="A399" t="s">
        <v>82</v>
      </c>
      <c r="B399" t="s">
        <v>83</v>
      </c>
      <c r="C399" t="s">
        <v>68</v>
      </c>
      <c r="D399">
        <v>20</v>
      </c>
      <c r="E399" t="s">
        <v>37</v>
      </c>
      <c r="F399" s="1">
        <v>42277</v>
      </c>
      <c r="G399">
        <v>647.79</v>
      </c>
      <c r="H399">
        <v>12955.8</v>
      </c>
      <c r="I399">
        <v>5355.8</v>
      </c>
    </row>
    <row r="400" spans="1:9" x14ac:dyDescent="0.45">
      <c r="A400" t="s">
        <v>82</v>
      </c>
      <c r="B400" t="s">
        <v>83</v>
      </c>
      <c r="C400" t="s">
        <v>68</v>
      </c>
      <c r="D400">
        <v>20</v>
      </c>
      <c r="E400" t="s">
        <v>38</v>
      </c>
      <c r="F400" s="1">
        <v>42307</v>
      </c>
      <c r="G400">
        <v>691.56</v>
      </c>
      <c r="H400">
        <v>13831.2</v>
      </c>
      <c r="I400">
        <v>6231.2</v>
      </c>
    </row>
    <row r="401" spans="1:9" x14ac:dyDescent="0.45">
      <c r="A401" t="s">
        <v>82</v>
      </c>
      <c r="B401" t="s">
        <v>83</v>
      </c>
      <c r="C401" t="s">
        <v>68</v>
      </c>
      <c r="D401">
        <v>20</v>
      </c>
      <c r="E401" t="s">
        <v>39</v>
      </c>
      <c r="F401" s="1">
        <v>42338</v>
      </c>
      <c r="G401">
        <v>759.64</v>
      </c>
      <c r="H401">
        <v>15192.8</v>
      </c>
      <c r="I401">
        <v>7592.8</v>
      </c>
    </row>
    <row r="402" spans="1:9" x14ac:dyDescent="0.45">
      <c r="A402" t="s">
        <v>82</v>
      </c>
      <c r="B402" t="s">
        <v>83</v>
      </c>
      <c r="C402" t="s">
        <v>68</v>
      </c>
      <c r="D402">
        <v>20</v>
      </c>
      <c r="E402" t="s">
        <v>40</v>
      </c>
      <c r="F402" s="1">
        <v>42369</v>
      </c>
      <c r="G402">
        <v>771.04</v>
      </c>
      <c r="H402">
        <v>15420.8</v>
      </c>
      <c r="I402">
        <v>7820.8</v>
      </c>
    </row>
    <row r="403" spans="1:9" x14ac:dyDescent="0.45">
      <c r="A403" t="s">
        <v>82</v>
      </c>
      <c r="B403" t="s">
        <v>83</v>
      </c>
      <c r="C403" t="s">
        <v>68</v>
      </c>
      <c r="D403">
        <v>20</v>
      </c>
      <c r="E403" t="s">
        <v>41</v>
      </c>
      <c r="F403" s="1">
        <v>42398</v>
      </c>
      <c r="G403">
        <v>736.66</v>
      </c>
      <c r="H403">
        <v>14733.2</v>
      </c>
      <c r="I403">
        <v>7133.2</v>
      </c>
    </row>
    <row r="404" spans="1:9" x14ac:dyDescent="0.45">
      <c r="A404" t="s">
        <v>82</v>
      </c>
      <c r="B404" t="s">
        <v>83</v>
      </c>
      <c r="C404" t="s">
        <v>68</v>
      </c>
      <c r="D404">
        <v>20</v>
      </c>
      <c r="E404" t="s">
        <v>42</v>
      </c>
      <c r="F404" s="1">
        <v>42429</v>
      </c>
      <c r="G404">
        <v>724.39</v>
      </c>
      <c r="H404">
        <v>14487.8</v>
      </c>
      <c r="I404">
        <v>6887.8</v>
      </c>
    </row>
    <row r="405" spans="1:9" x14ac:dyDescent="0.45">
      <c r="A405" t="s">
        <v>82</v>
      </c>
      <c r="B405" t="s">
        <v>83</v>
      </c>
      <c r="C405" t="s">
        <v>68</v>
      </c>
      <c r="D405">
        <v>20</v>
      </c>
      <c r="E405" t="s">
        <v>43</v>
      </c>
      <c r="F405" s="1">
        <v>42460</v>
      </c>
      <c r="G405">
        <v>746.79</v>
      </c>
      <c r="H405">
        <v>14935.8</v>
      </c>
      <c r="I405">
        <v>7335.8</v>
      </c>
    </row>
    <row r="406" spans="1:9" x14ac:dyDescent="0.45">
      <c r="A406" t="s">
        <v>82</v>
      </c>
      <c r="B406" t="s">
        <v>83</v>
      </c>
      <c r="C406" t="s">
        <v>68</v>
      </c>
      <c r="D406">
        <v>20</v>
      </c>
      <c r="E406" t="s">
        <v>44</v>
      </c>
      <c r="F406" s="1">
        <v>42489</v>
      </c>
      <c r="G406">
        <v>756.61</v>
      </c>
      <c r="H406">
        <v>15132.2</v>
      </c>
      <c r="I406">
        <v>7532.2</v>
      </c>
    </row>
    <row r="407" spans="1:9" x14ac:dyDescent="0.45">
      <c r="A407" t="s">
        <v>82</v>
      </c>
      <c r="B407" t="s">
        <v>83</v>
      </c>
      <c r="C407" t="s">
        <v>68</v>
      </c>
      <c r="D407">
        <v>20</v>
      </c>
      <c r="E407" t="s">
        <v>45</v>
      </c>
      <c r="F407" s="1">
        <v>42521</v>
      </c>
      <c r="G407">
        <v>726.53</v>
      </c>
      <c r="H407">
        <v>14530.6</v>
      </c>
      <c r="I407">
        <v>6930.6</v>
      </c>
    </row>
    <row r="408" spans="1:9" x14ac:dyDescent="0.45">
      <c r="A408" t="s">
        <v>82</v>
      </c>
      <c r="B408" t="s">
        <v>83</v>
      </c>
      <c r="C408" t="s">
        <v>68</v>
      </c>
      <c r="D408">
        <v>20</v>
      </c>
      <c r="E408" t="s">
        <v>46</v>
      </c>
      <c r="F408" s="1">
        <v>42551</v>
      </c>
      <c r="G408">
        <v>719.59</v>
      </c>
      <c r="H408">
        <v>14391.8</v>
      </c>
      <c r="I408">
        <v>6791.8</v>
      </c>
    </row>
    <row r="409" spans="1:9" x14ac:dyDescent="0.45">
      <c r="A409" t="s">
        <v>82</v>
      </c>
      <c r="B409" t="s">
        <v>83</v>
      </c>
      <c r="C409" t="s">
        <v>68</v>
      </c>
      <c r="D409">
        <v>20</v>
      </c>
      <c r="E409" t="s">
        <v>47</v>
      </c>
      <c r="F409" s="1">
        <v>42580</v>
      </c>
      <c r="G409">
        <v>741.07</v>
      </c>
      <c r="H409">
        <v>14821.4</v>
      </c>
      <c r="I409">
        <v>7221.4</v>
      </c>
    </row>
    <row r="410" spans="1:9" x14ac:dyDescent="0.45">
      <c r="A410" t="s">
        <v>82</v>
      </c>
      <c r="B410" t="s">
        <v>83</v>
      </c>
      <c r="C410" t="s">
        <v>68</v>
      </c>
      <c r="D410">
        <v>20</v>
      </c>
      <c r="E410" t="s">
        <v>48</v>
      </c>
      <c r="F410" s="1">
        <v>42613</v>
      </c>
      <c r="G410">
        <v>800.21</v>
      </c>
      <c r="H410">
        <v>16004.2</v>
      </c>
      <c r="I410">
        <v>8404.2000000000007</v>
      </c>
    </row>
    <row r="411" spans="1:9" x14ac:dyDescent="0.45">
      <c r="A411" t="s">
        <v>82</v>
      </c>
      <c r="B411" t="s">
        <v>83</v>
      </c>
      <c r="C411" t="s">
        <v>68</v>
      </c>
      <c r="D411">
        <v>20</v>
      </c>
      <c r="E411" t="s">
        <v>49</v>
      </c>
      <c r="F411" s="1">
        <v>42643</v>
      </c>
      <c r="G411">
        <v>801.62</v>
      </c>
      <c r="H411">
        <v>16032.4</v>
      </c>
      <c r="I411">
        <v>8432.4</v>
      </c>
    </row>
    <row r="412" spans="1:9" x14ac:dyDescent="0.45">
      <c r="A412" t="s">
        <v>82</v>
      </c>
      <c r="B412" t="s">
        <v>83</v>
      </c>
      <c r="C412" t="s">
        <v>68</v>
      </c>
      <c r="D412">
        <v>20</v>
      </c>
      <c r="E412" t="s">
        <v>50</v>
      </c>
      <c r="F412" s="1">
        <v>42674</v>
      </c>
      <c r="G412">
        <v>813.65</v>
      </c>
      <c r="H412">
        <v>16273</v>
      </c>
      <c r="I412">
        <v>8673</v>
      </c>
    </row>
    <row r="413" spans="1:9" x14ac:dyDescent="0.45">
      <c r="A413" t="s">
        <v>82</v>
      </c>
      <c r="B413" t="s">
        <v>83</v>
      </c>
      <c r="C413" t="s">
        <v>68</v>
      </c>
      <c r="D413">
        <v>20</v>
      </c>
      <c r="E413" t="s">
        <v>51</v>
      </c>
      <c r="F413" s="1">
        <v>42704</v>
      </c>
      <c r="G413">
        <v>784.74</v>
      </c>
      <c r="H413">
        <v>15694.8</v>
      </c>
      <c r="I413">
        <v>8094.8</v>
      </c>
    </row>
    <row r="414" spans="1:9" x14ac:dyDescent="0.45">
      <c r="A414" t="s">
        <v>82</v>
      </c>
      <c r="B414" t="s">
        <v>83</v>
      </c>
      <c r="C414" t="s">
        <v>68</v>
      </c>
      <c r="D414">
        <v>20</v>
      </c>
      <c r="E414" t="s">
        <v>52</v>
      </c>
      <c r="F414" s="1">
        <v>42734</v>
      </c>
      <c r="G414">
        <v>800.62</v>
      </c>
      <c r="H414">
        <v>16012.4</v>
      </c>
      <c r="I414">
        <v>8412.4</v>
      </c>
    </row>
    <row r="415" spans="1:9" x14ac:dyDescent="0.45">
      <c r="A415" t="s">
        <v>82</v>
      </c>
      <c r="B415" t="s">
        <v>83</v>
      </c>
      <c r="C415" t="s">
        <v>68</v>
      </c>
      <c r="D415">
        <v>20</v>
      </c>
      <c r="E415" t="s">
        <v>53</v>
      </c>
      <c r="F415" s="1">
        <v>42766</v>
      </c>
      <c r="G415">
        <v>830.25</v>
      </c>
      <c r="H415">
        <v>16605</v>
      </c>
      <c r="I415">
        <v>9005</v>
      </c>
    </row>
    <row r="416" spans="1:9" x14ac:dyDescent="0.45">
      <c r="A416" t="s">
        <v>82</v>
      </c>
      <c r="B416" t="s">
        <v>83</v>
      </c>
      <c r="C416" t="s">
        <v>68</v>
      </c>
      <c r="D416">
        <v>20</v>
      </c>
      <c r="E416" t="s">
        <v>54</v>
      </c>
      <c r="F416" s="1">
        <v>42794</v>
      </c>
      <c r="G416">
        <v>836.75</v>
      </c>
      <c r="H416">
        <v>16735</v>
      </c>
      <c r="I416">
        <v>9135</v>
      </c>
    </row>
    <row r="417" spans="1:9" x14ac:dyDescent="0.45">
      <c r="A417" t="s">
        <v>82</v>
      </c>
      <c r="B417" t="s">
        <v>83</v>
      </c>
      <c r="C417" t="s">
        <v>68</v>
      </c>
      <c r="D417">
        <v>20</v>
      </c>
      <c r="E417" t="s">
        <v>55</v>
      </c>
      <c r="F417" s="1">
        <v>42825</v>
      </c>
      <c r="G417">
        <v>853.79</v>
      </c>
      <c r="H417">
        <v>17075.8</v>
      </c>
      <c r="I417">
        <v>9475.7999999999993</v>
      </c>
    </row>
    <row r="418" spans="1:9" x14ac:dyDescent="0.45">
      <c r="A418" t="s">
        <v>82</v>
      </c>
      <c r="B418" t="s">
        <v>83</v>
      </c>
      <c r="C418" t="s">
        <v>68</v>
      </c>
      <c r="D418">
        <v>20</v>
      </c>
      <c r="E418" t="s">
        <v>56</v>
      </c>
      <c r="F418" s="1">
        <v>42853</v>
      </c>
      <c r="G418">
        <v>861.38</v>
      </c>
      <c r="H418">
        <v>17227.599999999999</v>
      </c>
      <c r="I418">
        <v>9627.6</v>
      </c>
    </row>
    <row r="419" spans="1:9" x14ac:dyDescent="0.45">
      <c r="A419" t="s">
        <v>82</v>
      </c>
      <c r="B419" t="s">
        <v>83</v>
      </c>
      <c r="C419" t="s">
        <v>68</v>
      </c>
      <c r="D419">
        <v>20</v>
      </c>
      <c r="E419" t="s">
        <v>57</v>
      </c>
      <c r="F419" s="1">
        <v>42886</v>
      </c>
      <c r="G419">
        <v>961.65</v>
      </c>
      <c r="H419">
        <v>19233</v>
      </c>
      <c r="I419">
        <v>11633</v>
      </c>
    </row>
    <row r="420" spans="1:9" x14ac:dyDescent="0.45">
      <c r="A420" t="s">
        <v>82</v>
      </c>
      <c r="B420" t="s">
        <v>83</v>
      </c>
      <c r="C420" t="s">
        <v>68</v>
      </c>
      <c r="D420">
        <v>20</v>
      </c>
      <c r="E420" t="s">
        <v>58</v>
      </c>
      <c r="F420" s="1">
        <v>42916</v>
      </c>
      <c r="G420">
        <v>973.37</v>
      </c>
      <c r="H420">
        <v>19467.400000000001</v>
      </c>
      <c r="I420">
        <v>11867.4</v>
      </c>
    </row>
    <row r="421" spans="1:9" x14ac:dyDescent="0.45">
      <c r="A421" t="s">
        <v>82</v>
      </c>
      <c r="B421" t="s">
        <v>83</v>
      </c>
      <c r="C421" t="s">
        <v>68</v>
      </c>
      <c r="D421">
        <v>20</v>
      </c>
      <c r="E421" t="s">
        <v>59</v>
      </c>
      <c r="F421" s="1">
        <v>42947</v>
      </c>
      <c r="G421">
        <v>963.44</v>
      </c>
      <c r="H421">
        <v>19268.8</v>
      </c>
      <c r="I421">
        <v>11668.8</v>
      </c>
    </row>
    <row r="422" spans="1:9" x14ac:dyDescent="0.45">
      <c r="A422" t="s">
        <v>82</v>
      </c>
      <c r="B422" t="s">
        <v>83</v>
      </c>
      <c r="C422" t="s">
        <v>68</v>
      </c>
      <c r="D422">
        <v>20</v>
      </c>
      <c r="E422" t="s">
        <v>60</v>
      </c>
      <c r="F422" s="1">
        <v>42978</v>
      </c>
      <c r="G422">
        <v>937.96</v>
      </c>
      <c r="H422">
        <v>18759.2</v>
      </c>
      <c r="I422">
        <v>11159.2</v>
      </c>
    </row>
    <row r="423" spans="1:9" x14ac:dyDescent="0.45">
      <c r="A423" t="s">
        <v>82</v>
      </c>
      <c r="B423" t="s">
        <v>83</v>
      </c>
      <c r="C423" t="s">
        <v>68</v>
      </c>
      <c r="D423">
        <v>20</v>
      </c>
      <c r="E423" t="s">
        <v>61</v>
      </c>
      <c r="F423" s="1">
        <v>43007</v>
      </c>
      <c r="G423">
        <v>945.88</v>
      </c>
      <c r="H423">
        <v>18917.599999999999</v>
      </c>
      <c r="I423">
        <v>11317.6</v>
      </c>
    </row>
    <row r="424" spans="1:9" x14ac:dyDescent="0.45">
      <c r="A424" t="s">
        <v>82</v>
      </c>
      <c r="B424" t="s">
        <v>83</v>
      </c>
      <c r="C424" t="s">
        <v>68</v>
      </c>
      <c r="D424">
        <v>20</v>
      </c>
      <c r="E424" t="s">
        <v>62</v>
      </c>
      <c r="F424" s="1">
        <v>43039</v>
      </c>
      <c r="G424">
        <v>999.14</v>
      </c>
      <c r="H424">
        <v>19982.8</v>
      </c>
      <c r="I424">
        <v>12382.8</v>
      </c>
    </row>
    <row r="425" spans="1:9" x14ac:dyDescent="0.45">
      <c r="A425" t="s">
        <v>82</v>
      </c>
      <c r="B425" t="s">
        <v>83</v>
      </c>
      <c r="C425" t="s">
        <v>68</v>
      </c>
      <c r="D425">
        <v>20</v>
      </c>
      <c r="E425" t="s">
        <v>63</v>
      </c>
      <c r="F425" s="1">
        <v>43069</v>
      </c>
      <c r="G425">
        <v>1046.98</v>
      </c>
      <c r="H425">
        <v>20939.599999999999</v>
      </c>
      <c r="I425">
        <v>13339.6</v>
      </c>
    </row>
    <row r="426" spans="1:9" x14ac:dyDescent="0.45">
      <c r="A426" t="s">
        <v>82</v>
      </c>
      <c r="B426" t="s">
        <v>83</v>
      </c>
      <c r="C426" t="s">
        <v>68</v>
      </c>
      <c r="D426">
        <v>20</v>
      </c>
      <c r="E426" t="s">
        <v>64</v>
      </c>
      <c r="F426" s="1">
        <v>43098</v>
      </c>
      <c r="G426">
        <v>1053.92</v>
      </c>
      <c r="H426">
        <v>21078.400000000001</v>
      </c>
      <c r="I426">
        <v>13478.4</v>
      </c>
    </row>
    <row r="427" spans="1:9" x14ac:dyDescent="0.45">
      <c r="A427" t="s">
        <v>82</v>
      </c>
      <c r="B427" t="s">
        <v>83</v>
      </c>
      <c r="C427" t="s">
        <v>68</v>
      </c>
      <c r="D427">
        <v>20</v>
      </c>
      <c r="E427" t="s">
        <v>65</v>
      </c>
      <c r="F427" s="1">
        <v>43131</v>
      </c>
      <c r="G427">
        <v>1139.3900000000001</v>
      </c>
      <c r="H427">
        <v>22787.8</v>
      </c>
      <c r="I427">
        <v>15187.8</v>
      </c>
    </row>
    <row r="428" spans="1:9" x14ac:dyDescent="0.45">
      <c r="A428" t="s">
        <v>82</v>
      </c>
      <c r="B428" t="s">
        <v>83</v>
      </c>
      <c r="C428" t="s">
        <v>68</v>
      </c>
      <c r="D428">
        <v>20</v>
      </c>
      <c r="E428" t="s">
        <v>66</v>
      </c>
      <c r="F428" s="1">
        <v>43138</v>
      </c>
      <c r="G428">
        <v>1100.5999999999999</v>
      </c>
      <c r="H428">
        <v>22012</v>
      </c>
      <c r="I428">
        <v>14412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9268D-B46B-43F6-B820-A15B2E2FA14B}">
  <dimension ref="A1:F69"/>
  <sheetViews>
    <sheetView tabSelected="1" workbookViewId="0">
      <selection activeCell="B2" sqref="B2:B5"/>
    </sheetView>
  </sheetViews>
  <sheetFormatPr defaultRowHeight="14.25" x14ac:dyDescent="0.45"/>
  <cols>
    <col min="1" max="1" width="5.3984375" bestFit="1" customWidth="1"/>
  </cols>
  <sheetData>
    <row r="1" spans="1:6" x14ac:dyDescent="0.45">
      <c r="B1" t="s">
        <v>5</v>
      </c>
      <c r="C1" t="s">
        <v>70</v>
      </c>
      <c r="D1" t="s">
        <v>67</v>
      </c>
      <c r="E1" t="s">
        <v>68</v>
      </c>
      <c r="F1" t="s">
        <v>69</v>
      </c>
    </row>
    <row r="2" spans="1:6" x14ac:dyDescent="0.45">
      <c r="B2">
        <f>AVERAGE(A10:A70)</f>
        <v>1.6704999999999999</v>
      </c>
      <c r="C2">
        <f t="shared" ref="C2:F2" si="0">AVERAGE(B10:B70)</f>
        <v>2.0831666666666666</v>
      </c>
      <c r="D2">
        <f t="shared" si="0"/>
        <v>3.0528333333333348</v>
      </c>
      <c r="E2">
        <f t="shared" si="0"/>
        <v>1.8108333333333337</v>
      </c>
      <c r="F2">
        <f t="shared" si="0"/>
        <v>-0.32433333333333336</v>
      </c>
    </row>
    <row r="3" spans="1:6" x14ac:dyDescent="0.45">
      <c r="B3">
        <f>_xlfn.STDEV.P(A10:A70)</f>
        <v>5.5159621176485016</v>
      </c>
      <c r="C3">
        <f t="shared" ref="C3:F3" si="1">_xlfn.STDEV.P(B10:B70)</f>
        <v>4.2028202799495906</v>
      </c>
      <c r="D3">
        <f t="shared" si="1"/>
        <v>6.6704038087826607</v>
      </c>
      <c r="E3">
        <f t="shared" si="1"/>
        <v>4.4118194627865517</v>
      </c>
      <c r="F3">
        <f t="shared" si="1"/>
        <v>4.0657083706969877</v>
      </c>
    </row>
    <row r="4" spans="1:6" x14ac:dyDescent="0.45">
      <c r="B4">
        <f>B3*SQRT(12)</f>
        <v>19.107853280784841</v>
      </c>
      <c r="C4">
        <f t="shared" ref="C4:F4" si="2">C3*SQRT(12)</f>
        <v>14.558996519907087</v>
      </c>
      <c r="D4">
        <f t="shared" si="2"/>
        <v>23.106956607625044</v>
      </c>
      <c r="E4">
        <f t="shared" si="2"/>
        <v>15.282990926735074</v>
      </c>
      <c r="F4">
        <f t="shared" si="2"/>
        <v>14.084026933610522</v>
      </c>
    </row>
    <row r="5" spans="1:6" x14ac:dyDescent="0.45">
      <c r="B5">
        <f>B2/B3*SQRT(12)</f>
        <v>1.0490974420532404</v>
      </c>
      <c r="C5">
        <f t="shared" ref="C5:F5" si="3">C2/C3*SQRT(12)</f>
        <v>1.7170139415734631</v>
      </c>
      <c r="D5">
        <f t="shared" si="3"/>
        <v>1.5854099967414659</v>
      </c>
      <c r="E5">
        <f t="shared" si="3"/>
        <v>1.4218421056566191</v>
      </c>
      <c r="F5">
        <f t="shared" si="3"/>
        <v>-0.27634141984719013</v>
      </c>
    </row>
    <row r="9" spans="1:6" x14ac:dyDescent="0.45">
      <c r="A9" t="s">
        <v>5</v>
      </c>
      <c r="B9" t="s">
        <v>70</v>
      </c>
      <c r="C9" t="s">
        <v>67</v>
      </c>
      <c r="D9" t="s">
        <v>68</v>
      </c>
      <c r="E9" t="s">
        <v>69</v>
      </c>
    </row>
    <row r="10" spans="1:6" x14ac:dyDescent="0.45">
      <c r="A10">
        <v>-3.35</v>
      </c>
      <c r="B10">
        <v>1.3</v>
      </c>
      <c r="C10">
        <v>0.67</v>
      </c>
      <c r="D10">
        <v>3.28</v>
      </c>
      <c r="E10">
        <v>5.44</v>
      </c>
    </row>
    <row r="11" spans="1:6" x14ac:dyDescent="0.45">
      <c r="A11">
        <v>-4.99</v>
      </c>
      <c r="B11">
        <v>6.15</v>
      </c>
      <c r="C11">
        <v>-1.01</v>
      </c>
      <c r="D11">
        <v>-2.64</v>
      </c>
      <c r="E11">
        <v>-2.96</v>
      </c>
    </row>
    <row r="12" spans="1:6" x14ac:dyDescent="0.45">
      <c r="A12">
        <v>6.35</v>
      </c>
      <c r="B12">
        <v>13.66</v>
      </c>
      <c r="C12">
        <v>-0.13</v>
      </c>
      <c r="D12">
        <v>10.08</v>
      </c>
      <c r="E12">
        <v>0.26</v>
      </c>
    </row>
    <row r="13" spans="1:6" x14ac:dyDescent="0.45">
      <c r="A13">
        <v>-4.6900000000000004</v>
      </c>
      <c r="B13">
        <v>2</v>
      </c>
      <c r="C13">
        <v>4.33</v>
      </c>
      <c r="D13">
        <v>7.0000000000000007E-2</v>
      </c>
      <c r="E13">
        <v>-2.15</v>
      </c>
    </row>
    <row r="14" spans="1:6" x14ac:dyDescent="0.45">
      <c r="A14">
        <v>0.86</v>
      </c>
      <c r="B14">
        <v>-2.83</v>
      </c>
      <c r="C14">
        <v>9.08</v>
      </c>
      <c r="D14">
        <v>2.75</v>
      </c>
      <c r="E14">
        <v>-3.24</v>
      </c>
    </row>
    <row r="15" spans="1:6" x14ac:dyDescent="0.45">
      <c r="A15">
        <v>12.97</v>
      </c>
      <c r="B15">
        <v>-3.45</v>
      </c>
      <c r="C15">
        <v>-2.62</v>
      </c>
      <c r="D15">
        <v>-2.93</v>
      </c>
      <c r="E15">
        <v>-3.71</v>
      </c>
    </row>
    <row r="16" spans="1:6" x14ac:dyDescent="0.45">
      <c r="A16">
        <v>-0.95</v>
      </c>
      <c r="B16">
        <v>0.09</v>
      </c>
      <c r="C16">
        <v>4.66</v>
      </c>
      <c r="D16">
        <v>1.17</v>
      </c>
      <c r="E16">
        <v>0.88</v>
      </c>
    </row>
    <row r="17" spans="1:5" x14ac:dyDescent="0.45">
      <c r="A17">
        <v>5.12</v>
      </c>
      <c r="B17">
        <v>5.72</v>
      </c>
      <c r="C17">
        <v>6.97</v>
      </c>
      <c r="D17">
        <v>6.03</v>
      </c>
      <c r="E17">
        <v>-4.2699999999999996</v>
      </c>
    </row>
    <row r="18" spans="1:5" x14ac:dyDescent="0.45">
      <c r="A18">
        <v>3.94</v>
      </c>
      <c r="B18">
        <v>8.67</v>
      </c>
      <c r="C18">
        <v>11.92</v>
      </c>
      <c r="D18">
        <v>9.82</v>
      </c>
      <c r="E18">
        <v>0.34</v>
      </c>
    </row>
    <row r="19" spans="1:5" x14ac:dyDescent="0.45">
      <c r="A19">
        <v>6.67</v>
      </c>
      <c r="B19">
        <v>0.27</v>
      </c>
      <c r="C19">
        <v>7.31</v>
      </c>
      <c r="D19">
        <v>5.19</v>
      </c>
      <c r="E19">
        <v>-1.22</v>
      </c>
    </row>
    <row r="20" spans="1:5" x14ac:dyDescent="0.45">
      <c r="A20">
        <v>-3.96</v>
      </c>
      <c r="B20">
        <v>-2.96</v>
      </c>
      <c r="C20">
        <v>0.86</v>
      </c>
      <c r="D20">
        <v>4.8</v>
      </c>
      <c r="E20">
        <v>2.77</v>
      </c>
    </row>
    <row r="21" spans="1:5" x14ac:dyDescent="0.45">
      <c r="A21">
        <v>-2.02</v>
      </c>
      <c r="B21">
        <v>2.4500000000000002</v>
      </c>
      <c r="C21">
        <v>-10.26</v>
      </c>
      <c r="D21">
        <v>4.7300000000000004</v>
      </c>
      <c r="E21">
        <v>-1.96</v>
      </c>
    </row>
    <row r="22" spans="1:5" x14ac:dyDescent="0.45">
      <c r="A22">
        <v>1.25</v>
      </c>
      <c r="B22">
        <v>4.7</v>
      </c>
      <c r="C22">
        <v>2.34</v>
      </c>
      <c r="D22">
        <v>-0.65</v>
      </c>
      <c r="E22">
        <v>3.94</v>
      </c>
    </row>
    <row r="23" spans="1:5" x14ac:dyDescent="0.45">
      <c r="A23">
        <v>1.48</v>
      </c>
      <c r="B23">
        <v>2.92</v>
      </c>
      <c r="C23">
        <v>-11.3</v>
      </c>
      <c r="D23">
        <v>-7.65</v>
      </c>
      <c r="E23">
        <v>3.32</v>
      </c>
    </row>
    <row r="24" spans="1:5" x14ac:dyDescent="0.45">
      <c r="A24">
        <v>11.47</v>
      </c>
      <c r="B24">
        <v>-0.52</v>
      </c>
      <c r="C24">
        <v>-5.81</v>
      </c>
      <c r="D24">
        <v>-0.66</v>
      </c>
      <c r="E24">
        <v>-3.01</v>
      </c>
    </row>
    <row r="25" spans="1:5" x14ac:dyDescent="0.45">
      <c r="A25">
        <v>6.64</v>
      </c>
      <c r="B25">
        <v>3.61</v>
      </c>
      <c r="C25">
        <v>7.14</v>
      </c>
      <c r="D25">
        <v>4.4800000000000004</v>
      </c>
      <c r="E25">
        <v>-2.64</v>
      </c>
    </row>
    <row r="26" spans="1:5" x14ac:dyDescent="0.45">
      <c r="A26">
        <v>4.07</v>
      </c>
      <c r="B26">
        <v>4.47</v>
      </c>
      <c r="C26">
        <v>4.7300000000000004</v>
      </c>
      <c r="D26">
        <v>4.4400000000000004</v>
      </c>
      <c r="E26">
        <v>4.38</v>
      </c>
    </row>
    <row r="27" spans="1:5" x14ac:dyDescent="0.45">
      <c r="A27">
        <v>2.94</v>
      </c>
      <c r="B27">
        <v>2.4300000000000002</v>
      </c>
      <c r="C27">
        <v>-3.7</v>
      </c>
      <c r="D27">
        <v>-1.54</v>
      </c>
      <c r="E27">
        <v>-0.97</v>
      </c>
    </row>
    <row r="28" spans="1:5" x14ac:dyDescent="0.45">
      <c r="A28">
        <v>2.14</v>
      </c>
      <c r="B28">
        <v>4.8600000000000003</v>
      </c>
      <c r="C28">
        <v>0.91</v>
      </c>
      <c r="D28">
        <v>1.51</v>
      </c>
      <c r="E28">
        <v>1.1499999999999999</v>
      </c>
    </row>
    <row r="29" spans="1:5" x14ac:dyDescent="0.45">
      <c r="A29">
        <v>1.1399999999999999</v>
      </c>
      <c r="B29">
        <v>-2.61</v>
      </c>
      <c r="C29">
        <v>-6.63</v>
      </c>
      <c r="D29">
        <v>-5.84</v>
      </c>
      <c r="E29">
        <v>-8.06</v>
      </c>
    </row>
    <row r="30" spans="1:5" x14ac:dyDescent="0.45">
      <c r="A30">
        <v>11.39</v>
      </c>
      <c r="B30">
        <v>7.1</v>
      </c>
      <c r="C30">
        <v>3.33</v>
      </c>
      <c r="D30">
        <v>-0.9</v>
      </c>
      <c r="E30">
        <v>-7.7</v>
      </c>
    </row>
    <row r="31" spans="1:5" x14ac:dyDescent="0.45">
      <c r="A31">
        <v>-0.77</v>
      </c>
      <c r="B31">
        <v>-1.9</v>
      </c>
      <c r="C31">
        <v>-3.11</v>
      </c>
      <c r="D31">
        <v>-4.2300000000000004</v>
      </c>
      <c r="E31">
        <v>-1.48</v>
      </c>
    </row>
    <row r="32" spans="1:5" x14ac:dyDescent="0.45">
      <c r="A32">
        <v>-1.57</v>
      </c>
      <c r="B32">
        <v>-4.17</v>
      </c>
      <c r="C32">
        <v>-1.96</v>
      </c>
      <c r="D32">
        <v>-2.5099999999999998</v>
      </c>
      <c r="E32">
        <v>-2.4300000000000002</v>
      </c>
    </row>
    <row r="33" spans="1:5" x14ac:dyDescent="0.45">
      <c r="A33">
        <v>13.37</v>
      </c>
      <c r="B33">
        <v>-5.34</v>
      </c>
      <c r="C33">
        <v>24.11</v>
      </c>
      <c r="D33">
        <v>4.8600000000000003</v>
      </c>
      <c r="E33">
        <v>2.52</v>
      </c>
    </row>
    <row r="34" spans="1:5" x14ac:dyDescent="0.45">
      <c r="A34">
        <v>0.43</v>
      </c>
      <c r="B34">
        <v>-2.21</v>
      </c>
      <c r="C34">
        <v>-0.11</v>
      </c>
      <c r="D34">
        <v>4.62</v>
      </c>
      <c r="E34">
        <v>-0.12</v>
      </c>
    </row>
    <row r="35" spans="1:5" x14ac:dyDescent="0.45">
      <c r="A35">
        <v>1.05</v>
      </c>
      <c r="B35">
        <v>3.16</v>
      </c>
      <c r="C35">
        <v>5.03</v>
      </c>
      <c r="D35">
        <v>-2.91</v>
      </c>
      <c r="E35">
        <v>3.39</v>
      </c>
    </row>
    <row r="36" spans="1:5" x14ac:dyDescent="0.45">
      <c r="A36">
        <v>1.1499999999999999</v>
      </c>
      <c r="B36">
        <v>9.36</v>
      </c>
      <c r="C36">
        <v>8.3000000000000007</v>
      </c>
      <c r="D36">
        <v>-0.33</v>
      </c>
      <c r="E36">
        <v>4.25</v>
      </c>
    </row>
    <row r="37" spans="1:5" x14ac:dyDescent="0.45">
      <c r="A37">
        <v>-0.74</v>
      </c>
      <c r="B37">
        <v>-3.3</v>
      </c>
      <c r="C37">
        <v>1.33</v>
      </c>
      <c r="D37">
        <v>0.56999999999999995</v>
      </c>
      <c r="E37">
        <v>-2.96</v>
      </c>
    </row>
    <row r="38" spans="1:5" x14ac:dyDescent="0.45">
      <c r="A38">
        <v>-1.93</v>
      </c>
      <c r="B38">
        <v>-0.76</v>
      </c>
      <c r="C38">
        <v>10.66</v>
      </c>
      <c r="D38">
        <v>12.1</v>
      </c>
      <c r="E38">
        <v>-1.44</v>
      </c>
    </row>
    <row r="39" spans="1:5" x14ac:dyDescent="0.45">
      <c r="A39">
        <v>-9.5299999999999994</v>
      </c>
      <c r="B39">
        <v>-0.22</v>
      </c>
      <c r="C39">
        <v>8.3000000000000007</v>
      </c>
      <c r="D39">
        <v>8.1300000000000008</v>
      </c>
      <c r="E39">
        <v>-7.27</v>
      </c>
    </row>
    <row r="40" spans="1:5" x14ac:dyDescent="0.45">
      <c r="A40">
        <v>-0.52</v>
      </c>
      <c r="B40">
        <v>-4.28</v>
      </c>
      <c r="C40">
        <v>0.48</v>
      </c>
      <c r="D40">
        <v>-2.98</v>
      </c>
      <c r="E40">
        <v>-4.8499999999999996</v>
      </c>
    </row>
    <row r="41" spans="1:5" x14ac:dyDescent="0.45">
      <c r="A41">
        <v>0.5</v>
      </c>
      <c r="B41">
        <v>11.8</v>
      </c>
      <c r="C41">
        <v>8.7899999999999991</v>
      </c>
      <c r="D41">
        <v>6.76</v>
      </c>
      <c r="E41">
        <v>0.52</v>
      </c>
    </row>
    <row r="42" spans="1:5" x14ac:dyDescent="0.45">
      <c r="A42">
        <v>4.2300000000000004</v>
      </c>
      <c r="B42">
        <v>10.64</v>
      </c>
      <c r="C42">
        <v>16.05</v>
      </c>
      <c r="D42">
        <v>9.84</v>
      </c>
      <c r="E42">
        <v>-6.1</v>
      </c>
    </row>
    <row r="43" spans="1:5" x14ac:dyDescent="0.45">
      <c r="A43">
        <v>-5.44</v>
      </c>
      <c r="B43">
        <v>2.82</v>
      </c>
      <c r="C43">
        <v>1.76</v>
      </c>
      <c r="D43">
        <v>1.5</v>
      </c>
      <c r="E43">
        <v>0.55000000000000004</v>
      </c>
    </row>
    <row r="44" spans="1:5" x14ac:dyDescent="0.45">
      <c r="A44">
        <v>-11.9</v>
      </c>
      <c r="B44">
        <v>-5.42</v>
      </c>
      <c r="C44">
        <v>-10.19</v>
      </c>
      <c r="D44">
        <v>-4.46</v>
      </c>
      <c r="E44">
        <v>-6.92</v>
      </c>
    </row>
    <row r="45" spans="1:5" x14ac:dyDescent="0.45">
      <c r="A45">
        <v>-2.72</v>
      </c>
      <c r="B45">
        <v>-1.95</v>
      </c>
      <c r="C45">
        <v>-11.72</v>
      </c>
      <c r="D45">
        <v>-1.67</v>
      </c>
      <c r="E45">
        <v>-0.72</v>
      </c>
    </row>
    <row r="46" spans="1:5" x14ac:dyDescent="0.45">
      <c r="A46">
        <v>8.9</v>
      </c>
      <c r="B46">
        <v>3.89</v>
      </c>
      <c r="C46">
        <v>7.87</v>
      </c>
      <c r="D46">
        <v>3.09</v>
      </c>
      <c r="E46">
        <v>12.69</v>
      </c>
    </row>
    <row r="47" spans="1:5" x14ac:dyDescent="0.45">
      <c r="A47">
        <v>2.37</v>
      </c>
      <c r="B47">
        <v>1.26</v>
      </c>
      <c r="C47">
        <v>7.2</v>
      </c>
      <c r="D47">
        <v>1.31</v>
      </c>
      <c r="E47">
        <v>3.97</v>
      </c>
    </row>
    <row r="48" spans="1:5" x14ac:dyDescent="0.45">
      <c r="A48">
        <v>-11.03</v>
      </c>
      <c r="B48">
        <v>-5.7</v>
      </c>
      <c r="C48">
        <v>13.67</v>
      </c>
      <c r="D48">
        <v>-3.98</v>
      </c>
      <c r="E48">
        <v>-0.76</v>
      </c>
    </row>
    <row r="49" spans="1:5" x14ac:dyDescent="0.45">
      <c r="A49">
        <v>1.74</v>
      </c>
      <c r="B49">
        <v>-0.1</v>
      </c>
      <c r="C49">
        <v>2.71</v>
      </c>
      <c r="D49">
        <v>-0.96</v>
      </c>
      <c r="E49">
        <v>2.19</v>
      </c>
    </row>
    <row r="50" spans="1:5" x14ac:dyDescent="0.45">
      <c r="A50">
        <v>2.0099999999999998</v>
      </c>
      <c r="B50">
        <v>6.25</v>
      </c>
      <c r="C50">
        <v>3.5</v>
      </c>
      <c r="D50">
        <v>2.99</v>
      </c>
      <c r="E50">
        <v>4.49</v>
      </c>
    </row>
    <row r="51" spans="1:5" x14ac:dyDescent="0.45">
      <c r="A51">
        <v>9.24</v>
      </c>
      <c r="B51">
        <v>6.69</v>
      </c>
      <c r="C51">
        <v>3.15</v>
      </c>
      <c r="D51">
        <v>7.98</v>
      </c>
      <c r="E51">
        <v>1.57</v>
      </c>
    </row>
    <row r="52" spans="1:5" x14ac:dyDescent="0.45">
      <c r="A52">
        <v>2.96</v>
      </c>
      <c r="B52">
        <v>-0.74</v>
      </c>
      <c r="C52">
        <v>3.15</v>
      </c>
      <c r="D52">
        <v>0.18</v>
      </c>
      <c r="E52">
        <v>-2.39</v>
      </c>
    </row>
    <row r="53" spans="1:5" x14ac:dyDescent="0.45">
      <c r="A53">
        <v>4.37</v>
      </c>
      <c r="B53">
        <v>1.94</v>
      </c>
      <c r="C53">
        <v>4.5</v>
      </c>
      <c r="D53">
        <v>1.5</v>
      </c>
      <c r="E53">
        <v>-2.02</v>
      </c>
    </row>
    <row r="54" spans="1:5" x14ac:dyDescent="0.45">
      <c r="A54">
        <v>-4.8099999999999996</v>
      </c>
      <c r="B54">
        <v>2.62</v>
      </c>
      <c r="C54">
        <v>-7.41</v>
      </c>
      <c r="D54">
        <v>-3.55</v>
      </c>
      <c r="E54">
        <v>3.26</v>
      </c>
    </row>
    <row r="55" spans="1:5" x14ac:dyDescent="0.45">
      <c r="A55">
        <v>3.8</v>
      </c>
      <c r="B55">
        <v>3.65</v>
      </c>
      <c r="C55">
        <v>0</v>
      </c>
      <c r="D55">
        <v>2.02</v>
      </c>
      <c r="E55">
        <v>4.2300000000000004</v>
      </c>
    </row>
    <row r="56" spans="1:5" x14ac:dyDescent="0.45">
      <c r="A56">
        <v>4.57</v>
      </c>
      <c r="B56">
        <v>1.72</v>
      </c>
      <c r="C56">
        <v>5.79</v>
      </c>
      <c r="D56">
        <v>3.7</v>
      </c>
      <c r="E56">
        <v>3.17</v>
      </c>
    </row>
    <row r="57" spans="1:5" x14ac:dyDescent="0.45">
      <c r="A57">
        <v>11.83</v>
      </c>
      <c r="B57">
        <v>1.46</v>
      </c>
      <c r="C57">
        <v>3.5</v>
      </c>
      <c r="D57">
        <v>0.78</v>
      </c>
      <c r="E57">
        <v>4.76</v>
      </c>
    </row>
    <row r="58" spans="1:5" x14ac:dyDescent="0.45">
      <c r="A58">
        <v>5.17</v>
      </c>
      <c r="B58">
        <v>1.1399999999999999</v>
      </c>
      <c r="C58">
        <v>2.21</v>
      </c>
      <c r="D58">
        <v>2.04</v>
      </c>
      <c r="E58">
        <v>-1.25</v>
      </c>
    </row>
    <row r="59" spans="1:5" x14ac:dyDescent="0.45">
      <c r="A59">
        <v>1.61</v>
      </c>
      <c r="B59">
        <v>2.0499999999999998</v>
      </c>
      <c r="C59">
        <v>5.75</v>
      </c>
      <c r="D59">
        <v>0.89</v>
      </c>
      <c r="E59">
        <v>-5.36</v>
      </c>
    </row>
    <row r="60" spans="1:5" x14ac:dyDescent="0.45">
      <c r="A60">
        <v>6.54</v>
      </c>
      <c r="B60">
        <v>4.16</v>
      </c>
      <c r="C60">
        <v>6.46</v>
      </c>
      <c r="D60">
        <v>11.64</v>
      </c>
      <c r="E60">
        <v>-8.24</v>
      </c>
    </row>
    <row r="61" spans="1:5" x14ac:dyDescent="0.45">
      <c r="A61">
        <v>-2.89</v>
      </c>
      <c r="B61">
        <v>2.3199999999999998</v>
      </c>
      <c r="C61">
        <v>2.99</v>
      </c>
      <c r="D61">
        <v>1.22</v>
      </c>
      <c r="E61">
        <v>0.32</v>
      </c>
    </row>
    <row r="62" spans="1:5" x14ac:dyDescent="0.45">
      <c r="A62">
        <v>0.32</v>
      </c>
      <c r="B62">
        <v>2.11</v>
      </c>
      <c r="C62">
        <v>1.82</v>
      </c>
      <c r="D62">
        <v>-1.02</v>
      </c>
      <c r="E62">
        <v>-2.39</v>
      </c>
    </row>
    <row r="63" spans="1:5" x14ac:dyDescent="0.45">
      <c r="A63">
        <v>7.48</v>
      </c>
      <c r="B63">
        <v>1.1200000000000001</v>
      </c>
      <c r="C63">
        <v>-3.69</v>
      </c>
      <c r="D63">
        <v>-2.64</v>
      </c>
      <c r="E63">
        <v>-5.0599999999999996</v>
      </c>
    </row>
    <row r="64" spans="1:5" x14ac:dyDescent="0.45">
      <c r="A64">
        <v>-1.1200000000000001</v>
      </c>
      <c r="B64">
        <v>2.09</v>
      </c>
      <c r="C64">
        <v>-0.23</v>
      </c>
      <c r="D64">
        <v>0.84</v>
      </c>
      <c r="E64">
        <v>1.61</v>
      </c>
    </row>
    <row r="65" spans="1:5" x14ac:dyDescent="0.45">
      <c r="A65">
        <v>0.13</v>
      </c>
      <c r="B65">
        <v>4.84</v>
      </c>
      <c r="C65">
        <v>3.27</v>
      </c>
      <c r="D65">
        <v>5.63</v>
      </c>
      <c r="E65">
        <v>4.5199999999999996</v>
      </c>
    </row>
    <row r="66" spans="1:5" x14ac:dyDescent="0.45">
      <c r="A66">
        <v>9.24</v>
      </c>
      <c r="B66">
        <v>7.42</v>
      </c>
      <c r="C66">
        <v>13.9</v>
      </c>
      <c r="D66">
        <v>4.79</v>
      </c>
      <c r="E66">
        <v>-0.22</v>
      </c>
    </row>
    <row r="67" spans="1:5" x14ac:dyDescent="0.45">
      <c r="A67">
        <v>-0.3</v>
      </c>
      <c r="B67">
        <v>1.24</v>
      </c>
      <c r="C67">
        <v>2.5499999999999998</v>
      </c>
      <c r="D67">
        <v>0.66</v>
      </c>
      <c r="E67">
        <v>1.89</v>
      </c>
    </row>
    <row r="68" spans="1:5" x14ac:dyDescent="0.45">
      <c r="A68">
        <v>1.23</v>
      </c>
      <c r="B68">
        <v>6.28</v>
      </c>
      <c r="C68">
        <v>11.99</v>
      </c>
      <c r="D68">
        <v>8.11</v>
      </c>
      <c r="E68">
        <v>6.44</v>
      </c>
    </row>
    <row r="69" spans="1:5" x14ac:dyDescent="0.45">
      <c r="A69">
        <v>-7.21</v>
      </c>
      <c r="B69">
        <v>1.02</v>
      </c>
      <c r="C69">
        <v>8.01</v>
      </c>
      <c r="D69">
        <v>-3.4</v>
      </c>
      <c r="E69">
        <v>-4.41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ABA88-1AD6-4D42-87FD-0C95DCE11C6F}">
  <dimension ref="A1:D4"/>
  <sheetViews>
    <sheetView workbookViewId="0">
      <selection activeCell="A5" sqref="A5"/>
    </sheetView>
  </sheetViews>
  <sheetFormatPr defaultRowHeight="14.25" x14ac:dyDescent="0.45"/>
  <cols>
    <col min="1" max="1" width="11.3984375" bestFit="1" customWidth="1"/>
    <col min="2" max="2" width="10" bestFit="1" customWidth="1"/>
    <col min="3" max="3" width="12.19921875" bestFit="1" customWidth="1"/>
    <col min="4" max="4" width="6.46484375" bestFit="1" customWidth="1"/>
  </cols>
  <sheetData>
    <row r="1" spans="1:4" x14ac:dyDescent="0.45">
      <c r="A1" t="s">
        <v>84</v>
      </c>
      <c r="B1" t="s">
        <v>85</v>
      </c>
      <c r="C1" t="s">
        <v>86</v>
      </c>
      <c r="D1" t="s">
        <v>88</v>
      </c>
    </row>
    <row r="2" spans="1:4" x14ac:dyDescent="0.45">
      <c r="A2" t="s">
        <v>87</v>
      </c>
      <c r="B2">
        <f>COUNTA(Prices_monthly!A:A)-1</f>
        <v>305</v>
      </c>
      <c r="C2">
        <v>305</v>
      </c>
      <c r="D2" t="str">
        <f>IF(B2=C2,"OK","CHECK")</f>
        <v>OK</v>
      </c>
    </row>
    <row r="3" spans="1:4" x14ac:dyDescent="0.45">
      <c r="A3" t="s">
        <v>89</v>
      </c>
      <c r="B3">
        <f>COUNTA(Portfolio_Value!A:A)-1</f>
        <v>427</v>
      </c>
      <c r="C3">
        <v>427</v>
      </c>
      <c r="D3" t="str">
        <f>IF(B3=C3,"OK","CHECK")</f>
        <v>OK</v>
      </c>
    </row>
    <row r="4" spans="1:4" x14ac:dyDescent="0.45">
      <c r="A4" t="s">
        <v>90</v>
      </c>
      <c r="B4">
        <f>SUMIFS(Portfolio_Value!H:H,Portfolio_Value!A:A,"C002",Portfolio_Value!E:E,"2018-02")</f>
        <v>129259.8</v>
      </c>
      <c r="C4">
        <v>129259.8</v>
      </c>
      <c r="D4" t="str">
        <f>IF(ROUND(B4,1)=ROUND(C4,1),"OK","CHECK")</f>
        <v>OK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Prices_monthly</vt:lpstr>
      <vt:lpstr>Returns</vt:lpstr>
      <vt:lpstr>Portfolio_Value</vt:lpstr>
      <vt:lpstr>Risk_Calc</vt:lpstr>
      <vt:lpstr>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Ofure Akpengbe</cp:lastModifiedBy>
  <dcterms:created xsi:type="dcterms:W3CDTF">2026-09-11T11:50:11Z</dcterms:created>
  <dcterms:modified xsi:type="dcterms:W3CDTF">2026-09-11T13:14:22Z</dcterms:modified>
</cp:coreProperties>
</file>